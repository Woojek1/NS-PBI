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Nowości produktowe/"/>
    </mc:Choice>
  </mc:AlternateContent>
  <xr:revisionPtr revIDLastSave="74" documentId="8_{73CD235B-66D4-4F8C-AE7C-3352A5238469}" xr6:coauthVersionLast="47" xr6:coauthVersionMax="47" xr10:uidLastSave="{8DC86ACA-C0A0-4416-934F-173A5C7EA509}"/>
  <bookViews>
    <workbookView xWindow="-28920" yWindow="-120" windowWidth="29040" windowHeight="15720" firstSheet="1" activeTab="4" xr2:uid="{BC199598-0207-4D17-AE45-6A29D4D2E5AA}"/>
  </bookViews>
  <sheets>
    <sheet name="Rejestr nowości - Styczeń  2026" sheetId="6" r:id="rId1"/>
    <sheet name="Rejestr nowości - Luty 2026" sheetId="4" r:id="rId2"/>
    <sheet name="Rejestr nowości - Marzec 2026" sheetId="7" r:id="rId3"/>
    <sheet name="Rejestr nowości - Kwiecień 2026" sheetId="8" r:id="rId4"/>
    <sheet name="Rejestr nowości - Maj 2026" sheetId="9" r:id="rId5"/>
    <sheet name="Arkusz1" sheetId="5" r:id="rId6"/>
  </sheets>
  <definedNames>
    <definedName name="_xlnm._FilterDatabase" localSheetId="3" hidden="1">'Rejestr nowości - Kwiecień 2026'!$A$1:$I$39</definedName>
    <definedName name="_xlnm._FilterDatabase" localSheetId="1" hidden="1">'Rejestr nowości - Luty 2026'!$A$1:$I$36</definedName>
    <definedName name="_xlnm._FilterDatabase" localSheetId="4" hidden="1">'Rejestr nowości - Maj 2026'!$A$1:$K$38</definedName>
    <definedName name="_xlnm._FilterDatabase" localSheetId="2" hidden="1">'Rejestr nowości - Marzec 2026'!$A$1:$I$36</definedName>
    <definedName name="_xlnm._FilterDatabase" localSheetId="0" hidden="1">'Rejestr nowości - Styczeń  2026'!$A$1:$I$36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 a="1"/>
  <c r="F3" i="9" s="1"/>
  <c r="F4" i="9" a="1"/>
  <c r="F4" i="9" s="1"/>
  <c r="F5" i="9" a="1"/>
  <c r="F5" i="9" s="1"/>
  <c r="F6" i="9" a="1"/>
  <c r="F6" i="9" s="1"/>
  <c r="F7" i="9" a="1"/>
  <c r="F7" i="9" s="1"/>
  <c r="F8" i="9" a="1"/>
  <c r="F8" i="9"/>
  <c r="F9" i="9" a="1"/>
  <c r="F9" i="9"/>
  <c r="F10" i="9" a="1"/>
  <c r="F10" i="9" s="1"/>
  <c r="F11" i="9" a="1"/>
  <c r="F11" i="9" s="1"/>
  <c r="F12" i="9" a="1"/>
  <c r="F12" i="9" s="1"/>
  <c r="F13" i="9" a="1"/>
  <c r="F13" i="9" s="1"/>
  <c r="F14" i="9" a="1"/>
  <c r="F14" i="9" s="1"/>
  <c r="F15" i="9" a="1"/>
  <c r="F15" i="9" s="1"/>
  <c r="F16" i="9" a="1"/>
  <c r="F16" i="9" s="1"/>
  <c r="F17" i="9" a="1"/>
  <c r="F17" i="9" s="1"/>
  <c r="F18" i="9" a="1"/>
  <c r="F18" i="9" s="1"/>
  <c r="F19" i="9" a="1"/>
  <c r="F19" i="9" s="1"/>
  <c r="F20" i="9" a="1"/>
  <c r="F20" i="9" s="1"/>
  <c r="F21" i="9" a="1"/>
  <c r="F21" i="9" s="1"/>
  <c r="F22" i="9" a="1"/>
  <c r="F22" i="9"/>
  <c r="F23" i="9" a="1"/>
  <c r="F23" i="9" s="1"/>
  <c r="F24" i="9" a="1"/>
  <c r="F24" i="9" s="1"/>
  <c r="F25" i="9" a="1"/>
  <c r="F25" i="9" s="1"/>
  <c r="F26" i="9" a="1"/>
  <c r="F26" i="9" s="1"/>
  <c r="F27" i="9" a="1"/>
  <c r="F27" i="9" s="1"/>
  <c r="F28" i="9" a="1"/>
  <c r="F28" i="9" s="1"/>
  <c r="F29" i="9" a="1"/>
  <c r="F29" i="9" s="1"/>
  <c r="F30" i="9" a="1"/>
  <c r="F30" i="9" s="1"/>
  <c r="F31" i="9" a="1"/>
  <c r="F31" i="9" s="1"/>
  <c r="F32" i="9" a="1"/>
  <c r="F32" i="9" s="1"/>
  <c r="F33" i="9" a="1"/>
  <c r="F33" i="9" s="1"/>
  <c r="F34" i="9" a="1"/>
  <c r="F34" i="9"/>
  <c r="F35" i="9" a="1"/>
  <c r="F35" i="9" s="1"/>
  <c r="F36" i="9" a="1"/>
  <c r="F36" i="9" s="1"/>
  <c r="F37" i="9" a="1"/>
  <c r="F37" i="9" s="1"/>
  <c r="F38" i="9" a="1"/>
  <c r="F38" i="9" s="1"/>
  <c r="F2" i="9" a="1"/>
  <c r="F2" i="9" s="1"/>
  <c r="E2" i="9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 s="1"/>
  <c r="E38" i="9" a="1"/>
  <c r="E3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<sst xmlns="http://schemas.openxmlformats.org/spreadsheetml/2006/main" count="854" uniqueCount="68">
  <si>
    <t>Linia / *Linia zakupowa</t>
  </si>
  <si>
    <t>Model produktowy</t>
  </si>
  <si>
    <t>Forecast H1 2026 (1 półrocze)</t>
  </si>
  <si>
    <t>Forecast H2 2026 (2 półrocze)</t>
  </si>
  <si>
    <t>Komentarz</t>
  </si>
  <si>
    <t>Data publikacji p3s:</t>
  </si>
  <si>
    <t>Zmiana</t>
  </si>
  <si>
    <t>Chairs</t>
  </si>
  <si>
    <t>Frame chairs</t>
  </si>
  <si>
    <t>Flesco</t>
  </si>
  <si>
    <t>wszystkie modele</t>
  </si>
  <si>
    <t>Sitari</t>
  </si>
  <si>
    <t>Smile</t>
  </si>
  <si>
    <t>Yuni*</t>
  </si>
  <si>
    <t>Bzoom</t>
  </si>
  <si>
    <t>TBC</t>
  </si>
  <si>
    <t>nowość</t>
  </si>
  <si>
    <t>Swivel chairs</t>
  </si>
  <si>
    <t>Elovie*</t>
  </si>
  <si>
    <t>Prox</t>
  </si>
  <si>
    <t>Vienna*</t>
  </si>
  <si>
    <t>AIRI*</t>
  </si>
  <si>
    <t>ERGO1*</t>
  </si>
  <si>
    <t>Ovia*</t>
  </si>
  <si>
    <t>Trofi*</t>
  </si>
  <si>
    <t>Furniture</t>
  </si>
  <si>
    <t>Accessories</t>
  </si>
  <si>
    <t>Multo</t>
  </si>
  <si>
    <t>tak</t>
  </si>
  <si>
    <t>Desks and workbenches</t>
  </si>
  <si>
    <t>eComo</t>
  </si>
  <si>
    <t>eModel 3.0</t>
  </si>
  <si>
    <t>eUP Prime</t>
  </si>
  <si>
    <t>Aero</t>
  </si>
  <si>
    <t>Storage</t>
  </si>
  <si>
    <t>Aplo</t>
  </si>
  <si>
    <t>K27</t>
  </si>
  <si>
    <t>Tento 2.0</t>
  </si>
  <si>
    <t>Tables</t>
  </si>
  <si>
    <t>Semu</t>
  </si>
  <si>
    <t>Softseating</t>
  </si>
  <si>
    <t>Acoustic pods</t>
  </si>
  <si>
    <t>SPIX*</t>
  </si>
  <si>
    <t xml:space="preserve">Panels </t>
  </si>
  <si>
    <t>Sileo EVO</t>
  </si>
  <si>
    <t>Barrique*</t>
  </si>
  <si>
    <t>Bound</t>
  </si>
  <si>
    <t>przestało być nowością</t>
  </si>
  <si>
    <t>Genaya</t>
  </si>
  <si>
    <t>Kanu</t>
  </si>
  <si>
    <t>Mollen</t>
  </si>
  <si>
    <t>Otuli*</t>
  </si>
  <si>
    <t>Scadio</t>
  </si>
  <si>
    <t>Sivu*</t>
  </si>
  <si>
    <t>Tri.ply</t>
  </si>
  <si>
    <t>Ardena/Lupino lounge*</t>
  </si>
  <si>
    <t>tak (wg maila 10/04)</t>
  </si>
  <si>
    <t>Calis*</t>
  </si>
  <si>
    <t>Zef*</t>
  </si>
  <si>
    <t>model basic</t>
  </si>
  <si>
    <t>K42</t>
  </si>
  <si>
    <t>zmiana</t>
  </si>
  <si>
    <t>Grupa</t>
  </si>
  <si>
    <t>Super Grupa</t>
  </si>
  <si>
    <t>Forecast H1 2025 (1 półrocze)</t>
  </si>
  <si>
    <t>Forecast H2 2025 (2 półrocze)</t>
  </si>
  <si>
    <t>Storages</t>
  </si>
  <si>
    <t>Panels, walls, acoustic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</si>
</sst>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9"/>
      <color theme="1"/>
      <name val="Calibri"/>
      <family val="2"/>
      <charset val="238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trike/>
      <sz val="11"/>
      <color theme="0"/>
      <name val="Calibri"/>
      <family val="2"/>
      <charset val="238"/>
    </font>
    <font>
      <b/>
      <strike/>
      <sz val="11"/>
      <name val="Calibri"/>
      <family val="2"/>
      <charset val="238"/>
    </font>
    <font>
      <strike/>
      <sz val="11"/>
      <color theme="1"/>
      <name val="Calibri"/>
      <family val="2"/>
      <charset val="238"/>
    </font>
    <font>
      <b/>
      <strike/>
      <sz val="11"/>
      <color theme="1"/>
      <name val="Calibri"/>
      <family val="2"/>
      <charset val="238"/>
    </font>
    <font>
      <i/>
      <strike/>
      <sz val="10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/>
      </patternFill>
    </fill>
    <fill>
      <patternFill patternType="solid">
        <fgColor theme="7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0" borderId="0" xfId="0" applyFont="1"/>
    <xf numFmtId="3" fontId="7" fillId="3" borderId="0" xfId="0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/>
    </xf>
    <xf numFmtId="0" fontId="2" fillId="3" borderId="0" xfId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14" fontId="1" fillId="0" borderId="0" xfId="0" applyNumberFormat="1" applyFont="1" applyAlignment="1">
      <alignment vertical="center"/>
    </xf>
    <xf numFmtId="0" fontId="6" fillId="3" borderId="0" xfId="1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right" vertical="center"/>
    </xf>
    <xf numFmtId="14" fontId="9" fillId="0" borderId="0" xfId="0" applyNumberFormat="1" applyFont="1"/>
    <xf numFmtId="0" fontId="10" fillId="2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0" fontId="12" fillId="3" borderId="0" xfId="1" applyFont="1" applyFill="1" applyAlignment="1">
      <alignment vertical="center"/>
    </xf>
    <xf numFmtId="3" fontId="13" fillId="3" borderId="0" xfId="0" applyNumberFormat="1" applyFont="1" applyFill="1" applyAlignment="1">
      <alignment horizontal="right" vertical="center"/>
    </xf>
    <xf numFmtId="14" fontId="14" fillId="0" borderId="0" xfId="0" applyNumberFormat="1" applyFont="1" applyAlignment="1">
      <alignment vertical="center"/>
    </xf>
    <xf numFmtId="3" fontId="6" fillId="3" borderId="0" xfId="0" applyNumberFormat="1" applyFont="1" applyFill="1" applyAlignment="1">
      <alignment horizontal="right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3" fillId="3" borderId="0" xfId="1" applyFont="1" applyFill="1" applyAlignment="1">
      <alignment vertical="center"/>
    </xf>
    <xf numFmtId="3" fontId="2" fillId="3" borderId="0" xfId="1" applyNumberFormat="1" applyFill="1" applyAlignment="1">
      <alignment vertical="center"/>
    </xf>
    <xf numFmtId="0" fontId="15" fillId="0" borderId="0" xfId="0" applyFont="1"/>
  </cellXfs>
  <cellStyles count="2">
    <cellStyle name="Normalny" xfId="0" builtinId="0"/>
    <cellStyle name="Normalny 3" xfId="1" xr:uid="{E25B1F61-73EA-4B75-9487-021F3A5DC76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2945-D7C6-44F7-BF3C-0CB04BA6473F}">
  <dimension ref="A1:J36"/>
  <sheetViews>
    <sheetView zoomScale="90" zoomScaleNormal="90" workbookViewId="0">
      <selection activeCell="B23" sqref="B23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 t="s">
        <v>15</v>
      </c>
      <c r="F6" s="6" t="s">
        <v>15</v>
      </c>
      <c r="G6" s="6" t="s">
        <v>16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 t="s">
        <v>15</v>
      </c>
      <c r="F12" s="6" t="s">
        <v>15</v>
      </c>
      <c r="G12" s="6" t="s">
        <v>16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 t="s">
        <v>15</v>
      </c>
      <c r="F13" s="6" t="s">
        <v>15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66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66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66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66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3E34-85FA-4FE7-BCD5-5B2FC7BA633E}">
  <dimension ref="A1:J36"/>
  <sheetViews>
    <sheetView zoomScale="90" zoomScaleNormal="90" workbookViewId="0">
      <selection sqref="A1:B1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>
        <v>300</v>
      </c>
      <c r="F6" s="6">
        <v>500</v>
      </c>
      <c r="G6" s="6" t="s">
        <v>16</v>
      </c>
      <c r="H6" s="15">
        <v>46087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>
        <v>500</v>
      </c>
      <c r="F12" s="6">
        <v>1000</v>
      </c>
      <c r="G12" s="6" t="s">
        <v>16</v>
      </c>
      <c r="H12" s="15">
        <v>46080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>
        <v>1500</v>
      </c>
      <c r="F13" s="6">
        <v>2500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34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34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34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34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sortState xmlns:xlrd2="http://schemas.microsoft.com/office/spreadsheetml/2017/richdata2" ref="A2:I36">
    <sortCondition ref="A2:A36"/>
  </sortState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4C31-756E-4571-873C-F076175E59B8}">
  <dimension ref="A1:J36"/>
  <sheetViews>
    <sheetView zoomScale="90" zoomScaleNormal="90" workbookViewId="0">
      <selection activeCell="C10" sqref="C10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19.28515625" bestFit="1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7</v>
      </c>
      <c r="B2" s="1" t="s">
        <v>8</v>
      </c>
      <c r="C2" s="4" t="s">
        <v>9</v>
      </c>
      <c r="D2" s="5" t="s">
        <v>10</v>
      </c>
      <c r="E2" s="6">
        <v>2000</v>
      </c>
      <c r="F2" s="6">
        <v>3000</v>
      </c>
      <c r="G2" s="3"/>
      <c r="H2" s="15">
        <v>45777</v>
      </c>
      <c r="J2" s="7"/>
    </row>
    <row r="3" spans="1:10" s="2" customFormat="1" x14ac:dyDescent="0.25">
      <c r="A3" s="2" t="s">
        <v>7</v>
      </c>
      <c r="B3" s="1" t="s">
        <v>8</v>
      </c>
      <c r="C3" s="8" t="s">
        <v>11</v>
      </c>
      <c r="D3" s="5" t="s">
        <v>10</v>
      </c>
      <c r="E3" s="6">
        <v>1000</v>
      </c>
      <c r="F3" s="6">
        <v>2000</v>
      </c>
      <c r="G3" s="3"/>
      <c r="H3" s="16">
        <v>45961</v>
      </c>
      <c r="I3" s="12"/>
      <c r="J3" s="7"/>
    </row>
    <row r="4" spans="1:10" x14ac:dyDescent="0.25">
      <c r="A4" s="2" t="s">
        <v>7</v>
      </c>
      <c r="B4" s="1" t="s">
        <v>8</v>
      </c>
      <c r="C4" s="8" t="s">
        <v>12</v>
      </c>
      <c r="D4" s="5" t="s">
        <v>10</v>
      </c>
      <c r="E4" s="23">
        <v>1000</v>
      </c>
      <c r="F4" s="23">
        <v>1000</v>
      </c>
      <c r="G4" s="6"/>
      <c r="H4" s="15">
        <v>45600</v>
      </c>
      <c r="J4" s="7"/>
    </row>
    <row r="5" spans="1:10" x14ac:dyDescent="0.25">
      <c r="A5" s="2" t="s">
        <v>7</v>
      </c>
      <c r="B5" s="1" t="s">
        <v>8</v>
      </c>
      <c r="C5" s="8" t="s">
        <v>13</v>
      </c>
      <c r="D5" s="5" t="s">
        <v>10</v>
      </c>
      <c r="E5" s="6">
        <v>600</v>
      </c>
      <c r="F5" s="6">
        <v>1000</v>
      </c>
      <c r="G5" s="6"/>
      <c r="H5" s="15">
        <v>45877</v>
      </c>
      <c r="J5" s="7"/>
    </row>
    <row r="6" spans="1:10" x14ac:dyDescent="0.25">
      <c r="A6" s="2" t="s">
        <v>7</v>
      </c>
      <c r="B6" s="1" t="s">
        <v>8</v>
      </c>
      <c r="C6" s="4" t="s">
        <v>14</v>
      </c>
      <c r="D6" s="5" t="s">
        <v>10</v>
      </c>
      <c r="E6" s="6">
        <v>300</v>
      </c>
      <c r="F6" s="6">
        <v>500</v>
      </c>
      <c r="G6" s="6" t="s">
        <v>16</v>
      </c>
      <c r="H6" s="15">
        <v>46087</v>
      </c>
      <c r="J6" s="7"/>
    </row>
    <row r="7" spans="1:10" x14ac:dyDescent="0.25">
      <c r="A7" t="s">
        <v>7</v>
      </c>
      <c r="B7" s="1" t="s">
        <v>17</v>
      </c>
      <c r="C7" s="8" t="s">
        <v>18</v>
      </c>
      <c r="D7" s="5" t="s">
        <v>10</v>
      </c>
      <c r="E7" s="6">
        <v>4000</v>
      </c>
      <c r="F7" s="6">
        <v>5000</v>
      </c>
      <c r="G7" s="6"/>
      <c r="H7" s="15">
        <v>45807</v>
      </c>
      <c r="J7" s="10"/>
    </row>
    <row r="8" spans="1:10" x14ac:dyDescent="0.25">
      <c r="A8" t="s">
        <v>7</v>
      </c>
      <c r="B8" s="1" t="s">
        <v>17</v>
      </c>
      <c r="C8" s="8" t="s">
        <v>19</v>
      </c>
      <c r="D8" s="5" t="s">
        <v>10</v>
      </c>
      <c r="E8" s="6">
        <v>2000</v>
      </c>
      <c r="F8" s="6">
        <v>3000</v>
      </c>
      <c r="G8" s="3"/>
      <c r="H8" s="15">
        <v>45803</v>
      </c>
    </row>
    <row r="9" spans="1:10" ht="15" customHeight="1" x14ac:dyDescent="0.25">
      <c r="A9" t="s">
        <v>7</v>
      </c>
      <c r="B9" s="1" t="s">
        <v>17</v>
      </c>
      <c r="C9" s="8" t="s">
        <v>20</v>
      </c>
      <c r="D9" s="5" t="s">
        <v>10</v>
      </c>
      <c r="E9" s="6">
        <v>500</v>
      </c>
      <c r="F9" s="9">
        <v>500</v>
      </c>
      <c r="G9" s="9"/>
      <c r="H9" s="15">
        <v>45807</v>
      </c>
    </row>
    <row r="10" spans="1:10" x14ac:dyDescent="0.25">
      <c r="A10" t="s">
        <v>7</v>
      </c>
      <c r="B10" s="1" t="s">
        <v>17</v>
      </c>
      <c r="C10" s="4" t="s">
        <v>21</v>
      </c>
      <c r="D10" s="5" t="s">
        <v>10</v>
      </c>
      <c r="E10" s="6">
        <v>500</v>
      </c>
      <c r="F10" s="6">
        <v>500</v>
      </c>
      <c r="G10" s="6"/>
      <c r="H10" s="15">
        <v>45989</v>
      </c>
    </row>
    <row r="11" spans="1:10" x14ac:dyDescent="0.25">
      <c r="A11" t="s">
        <v>7</v>
      </c>
      <c r="B11" s="1" t="s">
        <v>17</v>
      </c>
      <c r="C11" s="4" t="s">
        <v>22</v>
      </c>
      <c r="D11" s="5" t="s">
        <v>10</v>
      </c>
      <c r="E11" s="6">
        <v>200</v>
      </c>
      <c r="F11" s="6">
        <v>300</v>
      </c>
      <c r="G11" s="3"/>
      <c r="H11" s="15">
        <v>45930</v>
      </c>
    </row>
    <row r="12" spans="1:10" x14ac:dyDescent="0.25">
      <c r="A12" t="s">
        <v>7</v>
      </c>
      <c r="B12" s="1" t="s">
        <v>17</v>
      </c>
      <c r="C12" s="4" t="s">
        <v>23</v>
      </c>
      <c r="D12" s="5" t="s">
        <v>10</v>
      </c>
      <c r="E12" s="6">
        <v>500</v>
      </c>
      <c r="F12" s="6">
        <v>1000</v>
      </c>
      <c r="G12" s="6" t="s">
        <v>16</v>
      </c>
      <c r="H12" s="15">
        <v>46080</v>
      </c>
    </row>
    <row r="13" spans="1:10" x14ac:dyDescent="0.25">
      <c r="A13" t="s">
        <v>7</v>
      </c>
      <c r="B13" s="1" t="s">
        <v>17</v>
      </c>
      <c r="C13" s="4" t="s">
        <v>24</v>
      </c>
      <c r="D13" s="5" t="s">
        <v>10</v>
      </c>
      <c r="E13" s="6">
        <v>1500</v>
      </c>
      <c r="F13" s="6">
        <v>2500</v>
      </c>
      <c r="G13" s="6" t="s">
        <v>16</v>
      </c>
      <c r="H13" s="15">
        <v>46052</v>
      </c>
    </row>
    <row r="14" spans="1:10" x14ac:dyDescent="0.25">
      <c r="A14" s="2" t="s">
        <v>25</v>
      </c>
      <c r="B14" s="1" t="s">
        <v>26</v>
      </c>
      <c r="C14" s="8" t="s">
        <v>27</v>
      </c>
      <c r="D14" s="5" t="s">
        <v>10</v>
      </c>
      <c r="E14" s="6">
        <v>800</v>
      </c>
      <c r="F14" s="6">
        <v>1200</v>
      </c>
      <c r="G14" s="6"/>
      <c r="H14" s="15">
        <v>45950</v>
      </c>
      <c r="I14" s="11" t="s">
        <v>28</v>
      </c>
    </row>
    <row r="15" spans="1:10" x14ac:dyDescent="0.25">
      <c r="A15" s="2" t="s">
        <v>25</v>
      </c>
      <c r="B15" s="1" t="s">
        <v>29</v>
      </c>
      <c r="C15" s="8" t="s">
        <v>30</v>
      </c>
      <c r="D15" s="5" t="s">
        <v>10</v>
      </c>
      <c r="E15" s="6">
        <v>6000</v>
      </c>
      <c r="F15" s="6">
        <v>6500</v>
      </c>
      <c r="G15" s="6"/>
      <c r="H15" s="15">
        <v>45404</v>
      </c>
    </row>
    <row r="16" spans="1:10" x14ac:dyDescent="0.25">
      <c r="A16" s="2" t="s">
        <v>25</v>
      </c>
      <c r="B16" s="1" t="s">
        <v>29</v>
      </c>
      <c r="C16" s="8" t="s">
        <v>31</v>
      </c>
      <c r="D16" s="5" t="s">
        <v>10</v>
      </c>
      <c r="E16" s="6">
        <v>18000</v>
      </c>
      <c r="F16" s="6">
        <v>24000</v>
      </c>
      <c r="G16" s="6"/>
      <c r="H16" s="15">
        <v>45483</v>
      </c>
    </row>
    <row r="17" spans="1:9" x14ac:dyDescent="0.25">
      <c r="A17" s="2" t="s">
        <v>25</v>
      </c>
      <c r="B17" s="1" t="s">
        <v>29</v>
      </c>
      <c r="C17" s="8" t="s">
        <v>32</v>
      </c>
      <c r="D17" s="5" t="s">
        <v>10</v>
      </c>
      <c r="E17" s="6">
        <v>4000</v>
      </c>
      <c r="F17" s="6">
        <v>5000</v>
      </c>
      <c r="G17" s="6"/>
      <c r="H17" s="15">
        <v>45793</v>
      </c>
    </row>
    <row r="18" spans="1:9" x14ac:dyDescent="0.25">
      <c r="A18" s="2" t="s">
        <v>25</v>
      </c>
      <c r="B18" s="1" t="s">
        <v>29</v>
      </c>
      <c r="C18" s="8" t="s">
        <v>33</v>
      </c>
      <c r="D18" s="5" t="s">
        <v>10</v>
      </c>
      <c r="E18" s="6">
        <v>400</v>
      </c>
      <c r="F18" s="6">
        <v>600</v>
      </c>
      <c r="G18" s="6"/>
      <c r="H18" s="17">
        <v>45933</v>
      </c>
    </row>
    <row r="19" spans="1:9" x14ac:dyDescent="0.25">
      <c r="A19" t="s">
        <v>25</v>
      </c>
      <c r="B19" s="1" t="s">
        <v>34</v>
      </c>
      <c r="C19" s="8" t="s">
        <v>35</v>
      </c>
      <c r="D19" s="5" t="s">
        <v>10</v>
      </c>
      <c r="E19" s="6">
        <v>50</v>
      </c>
      <c r="F19" s="6">
        <v>100</v>
      </c>
      <c r="G19" s="6"/>
      <c r="H19" s="15">
        <v>45797</v>
      </c>
    </row>
    <row r="20" spans="1:9" x14ac:dyDescent="0.25">
      <c r="A20" t="s">
        <v>25</v>
      </c>
      <c r="B20" s="1" t="s">
        <v>34</v>
      </c>
      <c r="C20" s="8" t="s">
        <v>36</v>
      </c>
      <c r="D20" s="5" t="s">
        <v>10</v>
      </c>
      <c r="E20" s="6">
        <v>100</v>
      </c>
      <c r="F20" s="6">
        <v>100</v>
      </c>
      <c r="G20" s="6"/>
      <c r="H20" s="15">
        <v>45905</v>
      </c>
    </row>
    <row r="21" spans="1:9" x14ac:dyDescent="0.25">
      <c r="A21" t="s">
        <v>25</v>
      </c>
      <c r="B21" s="1" t="s">
        <v>34</v>
      </c>
      <c r="C21" s="8" t="s">
        <v>27</v>
      </c>
      <c r="D21" s="5" t="s">
        <v>10</v>
      </c>
      <c r="E21" s="6">
        <v>800</v>
      </c>
      <c r="F21" s="6">
        <v>1200</v>
      </c>
      <c r="G21" s="6"/>
      <c r="H21" s="15">
        <v>45950</v>
      </c>
    </row>
    <row r="22" spans="1:9" x14ac:dyDescent="0.25">
      <c r="A22" t="s">
        <v>25</v>
      </c>
      <c r="B22" s="1" t="s">
        <v>34</v>
      </c>
      <c r="C22" s="8" t="s">
        <v>37</v>
      </c>
      <c r="D22" t="s">
        <v>10</v>
      </c>
      <c r="E22" s="6">
        <v>4000</v>
      </c>
      <c r="F22" s="6">
        <v>5000</v>
      </c>
      <c r="G22" s="6" t="s">
        <v>16</v>
      </c>
      <c r="H22" s="15">
        <v>45960</v>
      </c>
    </row>
    <row r="23" spans="1:9" x14ac:dyDescent="0.25">
      <c r="A23" t="s">
        <v>25</v>
      </c>
      <c r="B23" s="1" t="s">
        <v>38</v>
      </c>
      <c r="C23" s="8" t="s">
        <v>39</v>
      </c>
      <c r="D23" s="5" t="s">
        <v>10</v>
      </c>
      <c r="E23" s="6">
        <v>600</v>
      </c>
      <c r="F23" s="6">
        <v>700</v>
      </c>
      <c r="G23" s="6"/>
      <c r="H23" s="15">
        <v>45658</v>
      </c>
    </row>
    <row r="24" spans="1:9" x14ac:dyDescent="0.25">
      <c r="A24" s="2" t="s">
        <v>40</v>
      </c>
      <c r="B24" s="1" t="s">
        <v>41</v>
      </c>
      <c r="C24" s="8" t="s">
        <v>42</v>
      </c>
      <c r="D24" s="5" t="s">
        <v>10</v>
      </c>
      <c r="E24" s="6">
        <v>200</v>
      </c>
      <c r="F24" s="6">
        <v>100</v>
      </c>
      <c r="G24" s="6"/>
      <c r="H24" s="15">
        <v>45772</v>
      </c>
    </row>
    <row r="25" spans="1:9" ht="18" customHeight="1" x14ac:dyDescent="0.25">
      <c r="A25" t="s">
        <v>40</v>
      </c>
      <c r="B25" s="1" t="s">
        <v>43</v>
      </c>
      <c r="C25" s="8" t="s">
        <v>27</v>
      </c>
      <c r="D25" s="5" t="s">
        <v>10</v>
      </c>
      <c r="E25" s="6">
        <v>600</v>
      </c>
      <c r="F25" s="6">
        <v>800</v>
      </c>
      <c r="G25" s="6"/>
      <c r="H25" s="15">
        <v>45930</v>
      </c>
    </row>
    <row r="26" spans="1:9" x14ac:dyDescent="0.25">
      <c r="A26" t="s">
        <v>40</v>
      </c>
      <c r="B26" s="1" t="s">
        <v>43</v>
      </c>
      <c r="C26" s="8" t="s">
        <v>44</v>
      </c>
      <c r="D26" s="5" t="s">
        <v>10</v>
      </c>
      <c r="E26" s="6">
        <v>600</v>
      </c>
      <c r="F26" s="6">
        <v>800</v>
      </c>
      <c r="G26" s="6"/>
      <c r="H26" s="17">
        <v>45989</v>
      </c>
    </row>
    <row r="27" spans="1:9" x14ac:dyDescent="0.25">
      <c r="A27" t="s">
        <v>40</v>
      </c>
      <c r="B27" s="1" t="s">
        <v>40</v>
      </c>
      <c r="C27" s="8" t="s">
        <v>45</v>
      </c>
      <c r="D27" s="5" t="s">
        <v>10</v>
      </c>
      <c r="E27" s="6">
        <v>50</v>
      </c>
      <c r="F27" s="6">
        <v>50</v>
      </c>
      <c r="G27" s="6"/>
      <c r="H27" s="15">
        <v>45824</v>
      </c>
      <c r="I27" s="11" t="s">
        <v>28</v>
      </c>
    </row>
    <row r="28" spans="1:9" x14ac:dyDescent="0.25">
      <c r="A28" t="s">
        <v>40</v>
      </c>
      <c r="B28" s="18" t="s">
        <v>40</v>
      </c>
      <c r="C28" s="19" t="s">
        <v>46</v>
      </c>
      <c r="D28" s="20" t="s">
        <v>10</v>
      </c>
      <c r="E28" s="21">
        <v>150</v>
      </c>
      <c r="F28" s="21">
        <v>150</v>
      </c>
      <c r="G28" s="21"/>
      <c r="H28" s="22">
        <v>45230</v>
      </c>
      <c r="I28" s="11" t="s">
        <v>47</v>
      </c>
    </row>
    <row r="29" spans="1:9" ht="17.25" customHeight="1" x14ac:dyDescent="0.25">
      <c r="A29" t="s">
        <v>40</v>
      </c>
      <c r="B29" s="1" t="s">
        <v>40</v>
      </c>
      <c r="C29" s="4" t="s">
        <v>48</v>
      </c>
      <c r="D29" s="5" t="s">
        <v>10</v>
      </c>
      <c r="E29" s="6">
        <v>250</v>
      </c>
      <c r="F29" s="6">
        <v>250</v>
      </c>
      <c r="G29" s="6"/>
      <c r="H29" s="15">
        <v>45167</v>
      </c>
      <c r="I29" s="11" t="s">
        <v>28</v>
      </c>
    </row>
    <row r="30" spans="1:9" ht="16.5" customHeight="1" x14ac:dyDescent="0.25">
      <c r="A30" t="s">
        <v>40</v>
      </c>
      <c r="B30" s="1" t="s">
        <v>40</v>
      </c>
      <c r="C30" s="4" t="s">
        <v>49</v>
      </c>
      <c r="D30" s="5" t="s">
        <v>10</v>
      </c>
      <c r="E30" s="6">
        <v>200</v>
      </c>
      <c r="F30" s="6">
        <v>200</v>
      </c>
      <c r="G30" s="6"/>
      <c r="H30" s="15">
        <v>45581</v>
      </c>
      <c r="I30" s="11" t="s">
        <v>28</v>
      </c>
    </row>
    <row r="31" spans="1:9" x14ac:dyDescent="0.25">
      <c r="A31" t="s">
        <v>40</v>
      </c>
      <c r="B31" s="1" t="s">
        <v>40</v>
      </c>
      <c r="C31" s="4" t="s">
        <v>50</v>
      </c>
      <c r="D31" s="5" t="s">
        <v>10</v>
      </c>
      <c r="E31" s="6">
        <v>1000</v>
      </c>
      <c r="F31" s="6">
        <v>1000</v>
      </c>
      <c r="G31" s="6"/>
      <c r="H31" s="15">
        <v>45593</v>
      </c>
      <c r="I31" s="11" t="s">
        <v>28</v>
      </c>
    </row>
    <row r="32" spans="1:9" x14ac:dyDescent="0.25">
      <c r="A32" t="s">
        <v>40</v>
      </c>
      <c r="B32" s="1" t="s">
        <v>40</v>
      </c>
      <c r="C32" s="4" t="s">
        <v>51</v>
      </c>
      <c r="D32" s="5" t="s">
        <v>10</v>
      </c>
      <c r="E32" s="6">
        <v>60</v>
      </c>
      <c r="F32" s="6">
        <v>60</v>
      </c>
      <c r="G32" s="6"/>
      <c r="H32" s="15">
        <v>45793</v>
      </c>
      <c r="I32" s="11" t="s">
        <v>28</v>
      </c>
    </row>
    <row r="33" spans="1:9" x14ac:dyDescent="0.25">
      <c r="A33" t="s">
        <v>40</v>
      </c>
      <c r="B33" s="1" t="s">
        <v>40</v>
      </c>
      <c r="C33" s="4" t="s">
        <v>52</v>
      </c>
      <c r="D33" s="5" t="s">
        <v>10</v>
      </c>
      <c r="E33" s="6">
        <v>300</v>
      </c>
      <c r="F33" s="6">
        <v>300</v>
      </c>
      <c r="G33" s="6"/>
      <c r="H33" s="15">
        <v>45658</v>
      </c>
      <c r="I33" s="11" t="s">
        <v>28</v>
      </c>
    </row>
    <row r="34" spans="1:9" x14ac:dyDescent="0.25">
      <c r="A34" t="s">
        <v>40</v>
      </c>
      <c r="B34" s="1" t="s">
        <v>40</v>
      </c>
      <c r="C34" s="4" t="s">
        <v>53</v>
      </c>
      <c r="D34" s="5" t="s">
        <v>10</v>
      </c>
      <c r="E34" s="6">
        <v>50</v>
      </c>
      <c r="F34" s="6">
        <v>50</v>
      </c>
      <c r="G34" s="6"/>
      <c r="H34" s="15">
        <v>45777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150</v>
      </c>
      <c r="F35" s="6">
        <v>150</v>
      </c>
      <c r="G35" s="6"/>
      <c r="H35" s="15">
        <v>45468</v>
      </c>
      <c r="I35" s="11" t="s">
        <v>28</v>
      </c>
    </row>
    <row r="36" spans="1:9" x14ac:dyDescent="0.25">
      <c r="A36" t="s">
        <v>40</v>
      </c>
      <c r="B36" s="1" t="s">
        <v>40</v>
      </c>
      <c r="C36" s="8" t="s">
        <v>55</v>
      </c>
      <c r="D36" s="5" t="s">
        <v>10</v>
      </c>
      <c r="E36" s="6">
        <v>130</v>
      </c>
      <c r="F36" s="6">
        <v>200</v>
      </c>
      <c r="G36" s="6" t="s">
        <v>16</v>
      </c>
      <c r="H36" s="15">
        <v>45940</v>
      </c>
      <c r="I36" s="11" t="s">
        <v>28</v>
      </c>
    </row>
  </sheetData>
  <autoFilter ref="A1:I36" xr:uid="{0AE83E34-85FA-4FE7-BCD5-5B2FC7BA633E}">
    <sortState xmlns:xlrd2="http://schemas.microsoft.com/office/spreadsheetml/2017/richdata2" ref="A2:I33">
      <sortCondition ref="A1:A33"/>
    </sortState>
  </autoFilter>
  <conditionalFormatting sqref="I9:I12 I15:I16 I31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2B6-2676-40B3-8758-F6D7EB4079B9}">
  <dimension ref="A1:J39"/>
  <sheetViews>
    <sheetView zoomScale="90" zoomScaleNormal="90" workbookViewId="0">
      <selection activeCell="C39" sqref="C39"/>
    </sheetView>
  </sheetViews>
  <sheetFormatPr defaultRowHeight="15" x14ac:dyDescent="0.25"/>
  <cols>
    <col min="1" max="1" width="12.7109375" customWidth="1"/>
    <col min="2" max="2" width="23" customWidth="1"/>
    <col min="3" max="3" width="21.28515625" customWidth="1"/>
    <col min="4" max="4" width="21.85546875" customWidth="1"/>
    <col min="5" max="5" width="22" customWidth="1"/>
    <col min="6" max="6" width="17.42578125" customWidth="1"/>
    <col min="7" max="7" width="33.28515625" customWidth="1"/>
    <col min="8" max="8" width="23.5703125" customWidth="1"/>
    <col min="9" max="9" width="22.7109375" style="11" customWidth="1"/>
    <col min="10" max="10" width="11" bestFit="1" customWidth="1"/>
  </cols>
  <sheetData>
    <row r="1" spans="1:10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4" t="s">
        <v>5</v>
      </c>
      <c r="I1" s="14" t="s">
        <v>6</v>
      </c>
      <c r="J1" s="14"/>
    </row>
    <row r="2" spans="1:10" x14ac:dyDescent="0.25">
      <c r="A2" s="2" t="s">
        <v>25</v>
      </c>
      <c r="B2" s="1" t="s">
        <v>29</v>
      </c>
      <c r="C2" s="8" t="s">
        <v>33</v>
      </c>
      <c r="D2" s="5" t="s">
        <v>10</v>
      </c>
      <c r="E2" s="6">
        <v>400</v>
      </c>
      <c r="F2" s="6">
        <v>600</v>
      </c>
      <c r="G2" s="6"/>
      <c r="H2" s="17">
        <v>45933</v>
      </c>
      <c r="J2" s="7"/>
    </row>
    <row r="3" spans="1:10" s="2" customFormat="1" x14ac:dyDescent="0.25">
      <c r="A3" t="s">
        <v>7</v>
      </c>
      <c r="B3" s="1" t="s">
        <v>17</v>
      </c>
      <c r="C3" s="4" t="s">
        <v>21</v>
      </c>
      <c r="D3" s="5" t="s">
        <v>10</v>
      </c>
      <c r="E3" s="6">
        <v>500</v>
      </c>
      <c r="F3" s="6">
        <v>500</v>
      </c>
      <c r="G3" s="6"/>
      <c r="H3" s="15">
        <v>45989</v>
      </c>
      <c r="I3" s="11"/>
      <c r="J3" s="7"/>
    </row>
    <row r="4" spans="1:10" x14ac:dyDescent="0.25">
      <c r="A4" t="s">
        <v>25</v>
      </c>
      <c r="B4" s="1" t="s">
        <v>34</v>
      </c>
      <c r="C4" s="8" t="s">
        <v>35</v>
      </c>
      <c r="D4" s="5" t="s">
        <v>10</v>
      </c>
      <c r="E4" s="6">
        <v>110</v>
      </c>
      <c r="F4" s="6">
        <v>150</v>
      </c>
      <c r="G4" s="6"/>
      <c r="H4" s="15">
        <v>45797</v>
      </c>
      <c r="I4" s="11" t="s">
        <v>28</v>
      </c>
      <c r="J4" s="7"/>
    </row>
    <row r="5" spans="1:10" x14ac:dyDescent="0.25">
      <c r="A5" t="s">
        <v>40</v>
      </c>
      <c r="B5" s="1" t="s">
        <v>40</v>
      </c>
      <c r="C5" s="8" t="s">
        <v>55</v>
      </c>
      <c r="D5" s="5" t="s">
        <v>10</v>
      </c>
      <c r="E5" s="6">
        <v>10</v>
      </c>
      <c r="F5" s="6">
        <v>100</v>
      </c>
      <c r="G5" s="6"/>
      <c r="H5" s="15">
        <v>45940</v>
      </c>
      <c r="I5" s="11" t="s">
        <v>61</v>
      </c>
      <c r="J5" s="7"/>
    </row>
    <row r="6" spans="1:10" x14ac:dyDescent="0.25">
      <c r="A6" t="s">
        <v>40</v>
      </c>
      <c r="B6" s="1" t="s">
        <v>40</v>
      </c>
      <c r="C6" s="8" t="s">
        <v>45</v>
      </c>
      <c r="D6" s="5" t="s">
        <v>10</v>
      </c>
      <c r="E6" s="6">
        <v>50</v>
      </c>
      <c r="F6" s="6">
        <v>50</v>
      </c>
      <c r="G6" s="6"/>
      <c r="H6" s="15">
        <v>45824</v>
      </c>
      <c r="J6" s="7"/>
    </row>
    <row r="7" spans="1:10" x14ac:dyDescent="0.25">
      <c r="A7" s="2" t="s">
        <v>7</v>
      </c>
      <c r="B7" s="1" t="s">
        <v>8</v>
      </c>
      <c r="C7" s="4" t="s">
        <v>14</v>
      </c>
      <c r="D7" s="5" t="s">
        <v>10</v>
      </c>
      <c r="E7" s="6">
        <v>300</v>
      </c>
      <c r="F7" s="6">
        <v>500</v>
      </c>
      <c r="G7" s="6" t="s">
        <v>16</v>
      </c>
      <c r="H7" s="15">
        <v>46087</v>
      </c>
      <c r="J7" s="10"/>
    </row>
    <row r="8" spans="1:10" x14ac:dyDescent="0.25">
      <c r="A8" t="s">
        <v>7</v>
      </c>
      <c r="B8" s="1" t="s">
        <v>17</v>
      </c>
      <c r="C8" s="4" t="s">
        <v>57</v>
      </c>
      <c r="D8" s="5" t="s">
        <v>10</v>
      </c>
      <c r="E8" s="6">
        <v>500</v>
      </c>
      <c r="F8" s="6">
        <v>2000</v>
      </c>
      <c r="G8" s="6" t="s">
        <v>16</v>
      </c>
      <c r="H8" s="15">
        <v>46129</v>
      </c>
    </row>
    <row r="9" spans="1:10" ht="15" customHeight="1" x14ac:dyDescent="0.25">
      <c r="A9" s="2" t="s">
        <v>25</v>
      </c>
      <c r="B9" s="1" t="s">
        <v>29</v>
      </c>
      <c r="C9" s="8" t="s">
        <v>30</v>
      </c>
      <c r="D9" s="5" t="s">
        <v>10</v>
      </c>
      <c r="E9" s="6">
        <v>6300</v>
      </c>
      <c r="F9" s="6">
        <v>6800</v>
      </c>
      <c r="G9" s="6"/>
      <c r="H9" s="15">
        <v>45404</v>
      </c>
    </row>
    <row r="10" spans="1:10" x14ac:dyDescent="0.25">
      <c r="A10" t="s">
        <v>7</v>
      </c>
      <c r="B10" s="1" t="s">
        <v>17</v>
      </c>
      <c r="C10" s="8" t="s">
        <v>18</v>
      </c>
      <c r="D10" s="5" t="s">
        <v>10</v>
      </c>
      <c r="E10" s="6">
        <v>4000</v>
      </c>
      <c r="F10" s="6">
        <v>5000</v>
      </c>
      <c r="G10" s="6"/>
      <c r="H10" s="15">
        <v>45807</v>
      </c>
    </row>
    <row r="11" spans="1:10" x14ac:dyDescent="0.25">
      <c r="A11" s="2" t="s">
        <v>25</v>
      </c>
      <c r="B11" s="1" t="s">
        <v>29</v>
      </c>
      <c r="C11" s="8" t="s">
        <v>31</v>
      </c>
      <c r="D11" s="5" t="s">
        <v>10</v>
      </c>
      <c r="E11" s="6">
        <v>26000</v>
      </c>
      <c r="F11" s="6">
        <v>28000</v>
      </c>
      <c r="G11" s="6"/>
      <c r="H11" s="15">
        <v>45483</v>
      </c>
    </row>
    <row r="12" spans="1:10" x14ac:dyDescent="0.25">
      <c r="A12" t="s">
        <v>7</v>
      </c>
      <c r="B12" s="1" t="s">
        <v>17</v>
      </c>
      <c r="C12" s="4" t="s">
        <v>22</v>
      </c>
      <c r="D12" s="5" t="s">
        <v>10</v>
      </c>
      <c r="E12" s="6">
        <v>200</v>
      </c>
      <c r="F12" s="6">
        <v>300</v>
      </c>
      <c r="G12" s="3"/>
      <c r="H12" s="15">
        <v>45930</v>
      </c>
    </row>
    <row r="13" spans="1:10" x14ac:dyDescent="0.25">
      <c r="A13" s="2" t="s">
        <v>25</v>
      </c>
      <c r="B13" s="1" t="s">
        <v>29</v>
      </c>
      <c r="C13" s="8" t="s">
        <v>32</v>
      </c>
      <c r="D13" s="5" t="s">
        <v>10</v>
      </c>
      <c r="E13" s="6">
        <v>4600</v>
      </c>
      <c r="F13" s="6">
        <v>5500</v>
      </c>
      <c r="G13" s="6"/>
      <c r="H13" s="15">
        <v>45793</v>
      </c>
    </row>
    <row r="14" spans="1:10" x14ac:dyDescent="0.25">
      <c r="A14" s="2" t="s">
        <v>7</v>
      </c>
      <c r="B14" s="1" t="s">
        <v>8</v>
      </c>
      <c r="C14" s="4" t="s">
        <v>9</v>
      </c>
      <c r="D14" s="5" t="s">
        <v>10</v>
      </c>
      <c r="E14" s="6">
        <v>2000</v>
      </c>
      <c r="F14" s="6">
        <v>3000</v>
      </c>
      <c r="G14" s="3"/>
      <c r="H14" s="15">
        <v>45777</v>
      </c>
    </row>
    <row r="15" spans="1:10" x14ac:dyDescent="0.25">
      <c r="A15" t="s">
        <v>40</v>
      </c>
      <c r="B15" s="18" t="s">
        <v>40</v>
      </c>
      <c r="C15" s="27" t="s">
        <v>48</v>
      </c>
      <c r="D15" s="20" t="s">
        <v>10</v>
      </c>
      <c r="E15" s="21">
        <v>250</v>
      </c>
      <c r="F15" s="21">
        <v>250</v>
      </c>
      <c r="G15" s="21"/>
      <c r="H15" s="22">
        <v>45167</v>
      </c>
      <c r="I15" s="11" t="s">
        <v>47</v>
      </c>
    </row>
    <row r="16" spans="1:10" x14ac:dyDescent="0.25">
      <c r="A16" t="s">
        <v>25</v>
      </c>
      <c r="B16" s="1" t="s">
        <v>34</v>
      </c>
      <c r="C16" s="8" t="s">
        <v>36</v>
      </c>
      <c r="D16" s="5" t="s">
        <v>10</v>
      </c>
      <c r="E16" s="6">
        <v>30</v>
      </c>
      <c r="F16" s="6">
        <v>100</v>
      </c>
      <c r="G16" s="6"/>
      <c r="H16" s="15">
        <v>45905</v>
      </c>
      <c r="I16" s="11" t="s">
        <v>28</v>
      </c>
    </row>
    <row r="17" spans="1:9" x14ac:dyDescent="0.25">
      <c r="A17" t="s">
        <v>25</v>
      </c>
      <c r="B17" s="1" t="s">
        <v>34</v>
      </c>
      <c r="C17" s="8" t="s">
        <v>60</v>
      </c>
      <c r="D17" t="s">
        <v>10</v>
      </c>
      <c r="E17" s="6">
        <v>100</v>
      </c>
      <c r="F17" s="6"/>
      <c r="G17" s="6"/>
      <c r="H17" s="15">
        <v>46162</v>
      </c>
    </row>
    <row r="18" spans="1:9" x14ac:dyDescent="0.25">
      <c r="A18" t="s">
        <v>25</v>
      </c>
      <c r="B18" s="1" t="s">
        <v>34</v>
      </c>
      <c r="C18" s="8" t="s">
        <v>60</v>
      </c>
      <c r="D18" s="5" t="s">
        <v>10</v>
      </c>
      <c r="E18" s="6">
        <v>200</v>
      </c>
      <c r="F18" s="6">
        <v>4500</v>
      </c>
      <c r="G18" s="6" t="s">
        <v>16</v>
      </c>
      <c r="H18" s="17"/>
    </row>
    <row r="19" spans="1:9" x14ac:dyDescent="0.25">
      <c r="A19" t="s">
        <v>40</v>
      </c>
      <c r="B19" s="1" t="s">
        <v>40</v>
      </c>
      <c r="C19" s="4" t="s">
        <v>49</v>
      </c>
      <c r="D19" s="5" t="s">
        <v>10</v>
      </c>
      <c r="E19" s="6">
        <v>200</v>
      </c>
      <c r="F19" s="6">
        <v>200</v>
      </c>
      <c r="G19" s="6"/>
      <c r="H19" s="15">
        <v>45581</v>
      </c>
    </row>
    <row r="20" spans="1:9" x14ac:dyDescent="0.25">
      <c r="A20" t="s">
        <v>40</v>
      </c>
      <c r="B20" s="1" t="s">
        <v>40</v>
      </c>
      <c r="C20" s="4" t="s">
        <v>50</v>
      </c>
      <c r="D20" s="5" t="s">
        <v>10</v>
      </c>
      <c r="E20" s="6">
        <v>1000</v>
      </c>
      <c r="F20" s="6">
        <v>1000</v>
      </c>
      <c r="G20" s="6"/>
      <c r="H20" s="15">
        <v>45593</v>
      </c>
    </row>
    <row r="21" spans="1:9" x14ac:dyDescent="0.25">
      <c r="A21" s="2" t="s">
        <v>25</v>
      </c>
      <c r="B21" s="1" t="s">
        <v>26</v>
      </c>
      <c r="C21" s="8" t="s">
        <v>27</v>
      </c>
      <c r="D21" s="5" t="s">
        <v>10</v>
      </c>
      <c r="E21" s="6">
        <v>1300</v>
      </c>
      <c r="F21" s="6">
        <v>1800</v>
      </c>
      <c r="G21" s="6"/>
      <c r="H21" s="15">
        <v>45950</v>
      </c>
      <c r="I21" s="11" t="s">
        <v>28</v>
      </c>
    </row>
    <row r="22" spans="1:9" x14ac:dyDescent="0.25">
      <c r="A22" t="s">
        <v>25</v>
      </c>
      <c r="B22" s="1" t="s">
        <v>34</v>
      </c>
      <c r="C22" s="8" t="s">
        <v>27</v>
      </c>
      <c r="D22" s="5" t="s">
        <v>10</v>
      </c>
      <c r="E22" s="6">
        <v>800</v>
      </c>
      <c r="F22" s="6">
        <v>1200</v>
      </c>
      <c r="G22" s="6"/>
      <c r="H22" s="15">
        <v>45950</v>
      </c>
    </row>
    <row r="23" spans="1:9" x14ac:dyDescent="0.25">
      <c r="A23" t="s">
        <v>25</v>
      </c>
      <c r="B23" s="1" t="s">
        <v>43</v>
      </c>
      <c r="C23" s="8" t="s">
        <v>27</v>
      </c>
      <c r="D23" s="5" t="s">
        <v>10</v>
      </c>
      <c r="E23" s="6">
        <v>1100</v>
      </c>
      <c r="F23" s="6">
        <v>1500</v>
      </c>
      <c r="G23" s="6"/>
      <c r="H23" s="15">
        <v>45930</v>
      </c>
    </row>
    <row r="24" spans="1:9" x14ac:dyDescent="0.25">
      <c r="A24" t="s">
        <v>40</v>
      </c>
      <c r="B24" s="1" t="s">
        <v>40</v>
      </c>
      <c r="C24" s="4" t="s">
        <v>51</v>
      </c>
      <c r="D24" s="5" t="s">
        <v>10</v>
      </c>
      <c r="E24" s="6">
        <v>100</v>
      </c>
      <c r="F24" s="6">
        <v>120</v>
      </c>
      <c r="G24" s="6"/>
      <c r="H24" s="15">
        <v>45793</v>
      </c>
      <c r="I24" s="11" t="s">
        <v>61</v>
      </c>
    </row>
    <row r="25" spans="1:9" x14ac:dyDescent="0.25">
      <c r="A25" t="s">
        <v>7</v>
      </c>
      <c r="B25" s="1" t="s">
        <v>17</v>
      </c>
      <c r="C25" s="4" t="s">
        <v>23</v>
      </c>
      <c r="D25" s="5" t="s">
        <v>10</v>
      </c>
      <c r="E25" s="6">
        <v>200</v>
      </c>
      <c r="F25" s="6">
        <v>500</v>
      </c>
      <c r="G25" s="6" t="s">
        <v>16</v>
      </c>
      <c r="H25" s="15">
        <v>46080</v>
      </c>
      <c r="I25" s="11" t="s">
        <v>56</v>
      </c>
    </row>
    <row r="26" spans="1:9" x14ac:dyDescent="0.25">
      <c r="A26" t="s">
        <v>7</v>
      </c>
      <c r="B26" s="1" t="s">
        <v>17</v>
      </c>
      <c r="C26" s="8" t="s">
        <v>19</v>
      </c>
      <c r="D26" s="5" t="s">
        <v>10</v>
      </c>
      <c r="E26" s="6">
        <v>2000</v>
      </c>
      <c r="F26" s="6">
        <v>3000</v>
      </c>
      <c r="G26" s="3"/>
      <c r="H26" s="15">
        <v>45803</v>
      </c>
    </row>
    <row r="27" spans="1:9" x14ac:dyDescent="0.25">
      <c r="A27" t="s">
        <v>40</v>
      </c>
      <c r="B27" s="1" t="s">
        <v>40</v>
      </c>
      <c r="C27" s="4" t="s">
        <v>52</v>
      </c>
      <c r="D27" s="5" t="s">
        <v>10</v>
      </c>
      <c r="E27" s="6">
        <v>400</v>
      </c>
      <c r="F27" s="6">
        <v>450</v>
      </c>
      <c r="G27" s="6"/>
      <c r="H27" s="15">
        <v>45658</v>
      </c>
      <c r="I27" s="11" t="s">
        <v>61</v>
      </c>
    </row>
    <row r="28" spans="1:9" ht="18" customHeight="1" x14ac:dyDescent="0.25">
      <c r="A28" t="s">
        <v>25</v>
      </c>
      <c r="B28" s="1" t="s">
        <v>38</v>
      </c>
      <c r="C28" s="8" t="s">
        <v>39</v>
      </c>
      <c r="D28" s="5" t="s">
        <v>10</v>
      </c>
      <c r="E28" s="6">
        <v>850</v>
      </c>
      <c r="F28" s="6">
        <v>1000</v>
      </c>
      <c r="G28" s="6"/>
      <c r="H28" s="15">
        <v>45658</v>
      </c>
    </row>
    <row r="29" spans="1:9" x14ac:dyDescent="0.25">
      <c r="A29" t="s">
        <v>25</v>
      </c>
      <c r="B29" s="1" t="s">
        <v>43</v>
      </c>
      <c r="C29" s="8" t="s">
        <v>44</v>
      </c>
      <c r="D29" s="5" t="s">
        <v>10</v>
      </c>
      <c r="E29" s="6">
        <v>150</v>
      </c>
      <c r="F29" s="6">
        <v>800</v>
      </c>
      <c r="G29" s="6"/>
      <c r="H29" s="17">
        <v>45989</v>
      </c>
    </row>
    <row r="30" spans="1:9" x14ac:dyDescent="0.25">
      <c r="A30" s="2" t="s">
        <v>7</v>
      </c>
      <c r="B30" s="1" t="s">
        <v>8</v>
      </c>
      <c r="C30" s="8" t="s">
        <v>11</v>
      </c>
      <c r="D30" s="5" t="s">
        <v>10</v>
      </c>
      <c r="E30" s="6">
        <v>1000</v>
      </c>
      <c r="F30" s="6">
        <v>2000</v>
      </c>
      <c r="G30" s="3"/>
      <c r="H30" s="16">
        <v>45961</v>
      </c>
      <c r="I30" s="12"/>
    </row>
    <row r="31" spans="1:9" x14ac:dyDescent="0.25">
      <c r="A31" t="s">
        <v>40</v>
      </c>
      <c r="B31" s="1" t="s">
        <v>40</v>
      </c>
      <c r="C31" s="4" t="s">
        <v>53</v>
      </c>
      <c r="D31" s="5" t="s">
        <v>10</v>
      </c>
      <c r="E31" s="6">
        <v>50</v>
      </c>
      <c r="F31" s="6">
        <v>50</v>
      </c>
      <c r="G31" s="6"/>
      <c r="H31" s="15">
        <v>45777</v>
      </c>
    </row>
    <row r="32" spans="1:9" ht="17.25" customHeight="1" x14ac:dyDescent="0.25">
      <c r="A32" s="2" t="s">
        <v>7</v>
      </c>
      <c r="B32" s="1" t="s">
        <v>8</v>
      </c>
      <c r="C32" s="8" t="s">
        <v>12</v>
      </c>
      <c r="D32" s="5" t="s">
        <v>10</v>
      </c>
      <c r="E32" s="23">
        <v>1000</v>
      </c>
      <c r="F32" s="23">
        <v>1000</v>
      </c>
      <c r="G32" s="6"/>
      <c r="H32" s="15">
        <v>45600</v>
      </c>
    </row>
    <row r="33" spans="1:9" ht="16.5" customHeight="1" x14ac:dyDescent="0.25">
      <c r="A33" t="s">
        <v>25</v>
      </c>
      <c r="B33" s="1" t="s">
        <v>41</v>
      </c>
      <c r="C33" s="8" t="s">
        <v>42</v>
      </c>
      <c r="D33" s="5" t="s">
        <v>10</v>
      </c>
      <c r="E33" s="6">
        <v>240</v>
      </c>
      <c r="F33" s="6">
        <v>250</v>
      </c>
      <c r="G33" s="6"/>
      <c r="H33" s="15">
        <v>45772</v>
      </c>
    </row>
    <row r="34" spans="1:9" x14ac:dyDescent="0.25">
      <c r="A34" t="s">
        <v>25</v>
      </c>
      <c r="B34" s="1" t="s">
        <v>34</v>
      </c>
      <c r="C34" s="8" t="s">
        <v>37</v>
      </c>
      <c r="D34" t="s">
        <v>10</v>
      </c>
      <c r="E34" s="6">
        <v>2500</v>
      </c>
      <c r="F34" s="6">
        <v>5000</v>
      </c>
      <c r="G34" s="6"/>
      <c r="H34" s="15">
        <v>45960</v>
      </c>
      <c r="I34" s="11" t="s">
        <v>28</v>
      </c>
    </row>
    <row r="35" spans="1:9" x14ac:dyDescent="0.25">
      <c r="A35" t="s">
        <v>40</v>
      </c>
      <c r="B35" s="1" t="s">
        <v>40</v>
      </c>
      <c r="C35" s="4" t="s">
        <v>54</v>
      </c>
      <c r="D35" s="5" t="s">
        <v>10</v>
      </c>
      <c r="E35" s="6">
        <v>250</v>
      </c>
      <c r="F35" s="6">
        <v>300</v>
      </c>
      <c r="G35" s="6"/>
      <c r="H35" s="15">
        <v>45468</v>
      </c>
      <c r="I35" s="11" t="s">
        <v>61</v>
      </c>
    </row>
    <row r="36" spans="1:9" x14ac:dyDescent="0.25">
      <c r="A36" t="s">
        <v>7</v>
      </c>
      <c r="B36" s="1" t="s">
        <v>17</v>
      </c>
      <c r="C36" s="4" t="s">
        <v>24</v>
      </c>
      <c r="D36" s="5" t="s">
        <v>10</v>
      </c>
      <c r="E36" s="6">
        <v>1500</v>
      </c>
      <c r="F36" s="6">
        <v>2500</v>
      </c>
      <c r="G36" s="6" t="s">
        <v>16</v>
      </c>
      <c r="H36" s="15">
        <v>46052</v>
      </c>
    </row>
    <row r="37" spans="1:9" x14ac:dyDescent="0.25">
      <c r="A37" t="s">
        <v>7</v>
      </c>
      <c r="B37" s="1" t="s">
        <v>17</v>
      </c>
      <c r="C37" s="8" t="s">
        <v>20</v>
      </c>
      <c r="D37" s="5" t="s">
        <v>10</v>
      </c>
      <c r="E37" s="6">
        <v>500</v>
      </c>
      <c r="F37" s="9">
        <v>500</v>
      </c>
      <c r="G37" s="9"/>
      <c r="H37" s="15">
        <v>45807</v>
      </c>
    </row>
    <row r="38" spans="1:9" x14ac:dyDescent="0.25">
      <c r="A38" s="2" t="s">
        <v>7</v>
      </c>
      <c r="B38" s="1" t="s">
        <v>8</v>
      </c>
      <c r="C38" s="8" t="s">
        <v>13</v>
      </c>
      <c r="D38" s="5" t="s">
        <v>10</v>
      </c>
      <c r="E38" s="6">
        <v>600</v>
      </c>
      <c r="F38" s="6">
        <v>1000</v>
      </c>
      <c r="G38" s="6"/>
      <c r="H38" s="15">
        <v>45877</v>
      </c>
    </row>
    <row r="39" spans="1:9" x14ac:dyDescent="0.25">
      <c r="A39" t="s">
        <v>7</v>
      </c>
      <c r="B39" s="1" t="s">
        <v>17</v>
      </c>
      <c r="C39" s="4" t="s">
        <v>58</v>
      </c>
      <c r="D39" s="5" t="s">
        <v>59</v>
      </c>
      <c r="E39" s="6">
        <v>250</v>
      </c>
      <c r="F39" s="6">
        <v>750</v>
      </c>
      <c r="G39" s="6" t="s">
        <v>16</v>
      </c>
      <c r="H39" s="15">
        <v>46129</v>
      </c>
    </row>
  </sheetData>
  <autoFilter ref="A1:I39" xr:uid="{0AE83E34-85FA-4FE7-BCD5-5B2FC7BA633E}">
    <sortState xmlns:xlrd2="http://schemas.microsoft.com/office/spreadsheetml/2017/richdata2" ref="A2:I39">
      <sortCondition ref="C1:C39"/>
    </sortState>
  </autoFilter>
  <conditionalFormatting sqref="C1:C1048576">
    <cfRule type="duplicateValues" dxfId="1" priority="1"/>
  </conditionalFormatting>
  <conditionalFormatting sqref="I34 I9:I12 I17:I18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115F-B1DD-4305-90D7-1221A26B8FBF}">
  <dimension ref="A1:N38"/>
  <sheetViews>
    <sheetView tabSelected="1" topLeftCell="B1" zoomScale="90" zoomScaleNormal="90" workbookViewId="0">
      <selection activeCell="B5" sqref="A5:XFD5"/>
    </sheetView>
  </sheetViews>
  <sheetFormatPr defaultRowHeight="15" x14ac:dyDescent="0.25"/>
  <cols>
    <col min="1" max="1" width="12.7109375" customWidth="1"/>
    <col min="2" max="2" width="23" customWidth="1"/>
    <col min="3" max="3" width="27.28515625" customWidth="1"/>
    <col min="4" max="6" width="28.28515625" customWidth="1"/>
    <col min="7" max="7" width="22" customWidth="1"/>
    <col min="8" max="8" width="17.42578125" customWidth="1"/>
    <col min="9" max="9" width="33.28515625" customWidth="1"/>
    <col min="10" max="10" width="23.5703125" customWidth="1"/>
    <col min="11" max="11" width="22.7109375" style="11" customWidth="1"/>
    <col min="12" max="12" width="11" bestFit="1" customWidth="1"/>
    <col min="14" max="14" width="18.28515625" customWidth="1"/>
  </cols>
  <sheetData>
    <row r="1" spans="1:12" s="13" customFormat="1" ht="29.25" customHeight="1" x14ac:dyDescent="0.25">
      <c r="A1" s="13" t="s">
        <v>63</v>
      </c>
      <c r="B1" s="13" t="s">
        <v>62</v>
      </c>
      <c r="C1" s="13" t="s">
        <v>0</v>
      </c>
      <c r="D1" s="13" t="s">
        <v>1</v>
      </c>
      <c r="E1" s="13" t="s">
        <v>64</v>
      </c>
      <c r="F1" s="13" t="s">
        <v>65</v>
      </c>
      <c r="G1" s="13" t="s">
        <v>2</v>
      </c>
      <c r="H1" s="13" t="s">
        <v>3</v>
      </c>
      <c r="I1" s="13" t="s">
        <v>4</v>
      </c>
      <c r="J1" s="14" t="s">
        <v>5</v>
      </c>
      <c r="K1" s="14" t="s">
        <v>6</v>
      </c>
      <c r="L1" s="14"/>
    </row>
    <row r="2" spans="1:12" x14ac:dyDescent="0.25">
      <c r="A2" s="2" t="s">
        <v>25</v>
      </c>
      <c r="B2" s="1" t="s">
        <v>29</v>
      </c>
      <c r="C2" s="8" t="s">
        <v>33</v>
      </c>
      <c r="D2" s="5" t="s">
        <v>10</v>
      </c>
      <c r="E2" s="28" cm="1">
        <f t="array" ref="E2">IFERROR(_xlfn.XLOOKUP(C2&amp;B2,'Rejestr nowości - Styczeń  2026'!$C$2:$C$36&amp;'Rejestr nowości - Styczeń  2026'!$B$2:$B$36,'Rejestr nowości - Styczeń  2026'!$E$2:$E$36),"")</f>
        <v>400</v>
      </c>
      <c r="F2" s="5" cm="1">
        <f t="array" ref="F2">IFERROR(_xlfn.XLOOKUP(C2&amp;B2,'Rejestr nowości - Styczeń  2026'!$C$2:$C$36&amp;'Rejestr nowości - Styczeń  2026'!$B$2:$B$36,'Rejestr nowości - Styczeń  2026'!$F$2:$F$36),"")</f>
        <v>600</v>
      </c>
      <c r="G2" s="6">
        <v>400</v>
      </c>
      <c r="H2" s="6">
        <v>600</v>
      </c>
      <c r="I2" s="6"/>
      <c r="J2" s="17">
        <v>45933</v>
      </c>
      <c r="L2" s="7"/>
    </row>
    <row r="3" spans="1:12" s="2" customFormat="1" x14ac:dyDescent="0.25">
      <c r="A3" t="s">
        <v>7</v>
      </c>
      <c r="B3" s="1" t="s">
        <v>17</v>
      </c>
      <c r="C3" s="4" t="s">
        <v>21</v>
      </c>
      <c r="D3" s="5" t="s">
        <v>10</v>
      </c>
      <c r="E3" s="28" cm="1">
        <f t="array" ref="E3">IFERROR(_xlfn.XLOOKUP(C3&amp;B3,'Rejestr nowości - Styczeń  2026'!$C$2:$C$36&amp;'Rejestr nowości - Styczeń  2026'!$B$2:$B$36,'Rejestr nowości - Styczeń  2026'!$E$2:$E$36),"")</f>
        <v>500</v>
      </c>
      <c r="F3" s="5" cm="1">
        <f t="array" ref="F3">IFERROR(_xlfn.XLOOKUP(C3&amp;B3,'Rejestr nowości - Styczeń  2026'!$C$2:$C$36&amp;'Rejestr nowości - Styczeń  2026'!$B$2:$B$36,'Rejestr nowości - Styczeń  2026'!$F$2:$F$36),"")</f>
        <v>500</v>
      </c>
      <c r="G3" s="6">
        <v>500</v>
      </c>
      <c r="H3" s="6">
        <v>500</v>
      </c>
      <c r="I3" s="6"/>
      <c r="J3" s="15">
        <v>45989</v>
      </c>
      <c r="K3" s="11"/>
      <c r="L3" s="7"/>
    </row>
    <row r="4" spans="1:12" x14ac:dyDescent="0.25">
      <c r="A4" t="s">
        <v>25</v>
      </c>
      <c r="B4" s="1" t="s">
        <v>66</v>
      </c>
      <c r="C4" s="8" t="s">
        <v>35</v>
      </c>
      <c r="D4" s="5" t="s">
        <v>10</v>
      </c>
      <c r="E4" s="28" cm="1">
        <f t="array" ref="E4">IFERROR(_xlfn.XLOOKUP(C4&amp;B4,'Rejestr nowości - Styczeń  2026'!$C$2:$C$36&amp;'Rejestr nowości - Styczeń  2026'!$B$2:$B$36,'Rejestr nowości - Styczeń  2026'!$E$2:$E$36),"")</f>
        <v>50</v>
      </c>
      <c r="F4" s="5" cm="1">
        <f t="array" ref="F4">IFERROR(_xlfn.XLOOKUP(C4&amp;B4,'Rejestr nowości - Styczeń  2026'!$C$2:$C$36&amp;'Rejestr nowości - Styczeń  2026'!$B$2:$B$36,'Rejestr nowości - Styczeń  2026'!$F$2:$F$36),"")</f>
        <v>100</v>
      </c>
      <c r="G4" s="6">
        <v>110</v>
      </c>
      <c r="H4" s="6">
        <v>150</v>
      </c>
      <c r="I4" s="6"/>
      <c r="J4" s="15">
        <v>45797</v>
      </c>
      <c r="K4" s="11" t="s">
        <v>28</v>
      </c>
      <c r="L4" s="7"/>
    </row>
    <row r="5" spans="1:12" x14ac:dyDescent="0.25">
      <c r="A5" t="s">
        <v>40</v>
      </c>
      <c r="B5" s="1" t="s">
        <v>40</v>
      </c>
      <c r="C5" s="8" t="s">
        <v>55</v>
      </c>
      <c r="D5" s="5" t="s">
        <v>10</v>
      </c>
      <c r="E5" s="28" cm="1">
        <f t="array" ref="E5">IFERROR(_xlfn.XLOOKUP(C5&amp;B5,'Rejestr nowości - Styczeń  2026'!$C$2:$C$36&amp;'Rejestr nowości - Styczeń  2026'!$B$2:$B$36,'Rejestr nowości - Styczeń  2026'!$E$2:$E$36),"")</f>
        <v>130</v>
      </c>
      <c r="F5" s="5" cm="1">
        <f t="array" ref="F5">IFERROR(_xlfn.XLOOKUP(C5&amp;B5,'Rejestr nowości - Styczeń  2026'!$C$2:$C$36&amp;'Rejestr nowości - Styczeń  2026'!$B$2:$B$36,'Rejestr nowości - Styczeń  2026'!$F$2:$F$36),"")</f>
        <v>200</v>
      </c>
      <c r="G5" s="6">
        <v>10</v>
      </c>
      <c r="H5" s="6">
        <v>100</v>
      </c>
      <c r="I5" s="6"/>
      <c r="J5" s="15">
        <v>45940</v>
      </c>
      <c r="K5" s="11" t="s">
        <v>61</v>
      </c>
      <c r="L5" s="7"/>
    </row>
    <row r="6" spans="1:12" x14ac:dyDescent="0.25">
      <c r="A6" t="s">
        <v>40</v>
      </c>
      <c r="B6" s="1" t="s">
        <v>40</v>
      </c>
      <c r="C6" s="8" t="s">
        <v>45</v>
      </c>
      <c r="D6" s="5" t="s">
        <v>10</v>
      </c>
      <c r="E6" s="28" cm="1">
        <f t="array" ref="E6">IFERROR(_xlfn.XLOOKUP(C6&amp;B6,'Rejestr nowości - Styczeń  2026'!$C$2:$C$36&amp;'Rejestr nowości - Styczeń  2026'!$B$2:$B$36,'Rejestr nowości - Styczeń  2026'!$E$2:$E$36),"")</f>
        <v>50</v>
      </c>
      <c r="F6" s="5" cm="1">
        <f t="array" ref="F6">IFERROR(_xlfn.XLOOKUP(C6&amp;B6,'Rejestr nowości - Styczeń  2026'!$C$2:$C$36&amp;'Rejestr nowości - Styczeń  2026'!$B$2:$B$36,'Rejestr nowości - Styczeń  2026'!$F$2:$F$36),"")</f>
        <v>50</v>
      </c>
      <c r="G6" s="6">
        <v>50</v>
      </c>
      <c r="H6" s="6">
        <v>50</v>
      </c>
      <c r="I6" s="6"/>
      <c r="J6" s="15">
        <v>45824</v>
      </c>
      <c r="L6" s="7"/>
    </row>
    <row r="7" spans="1:12" x14ac:dyDescent="0.25">
      <c r="A7" s="2" t="s">
        <v>7</v>
      </c>
      <c r="B7" s="1" t="s">
        <v>8</v>
      </c>
      <c r="C7" s="4" t="s">
        <v>14</v>
      </c>
      <c r="D7" s="5" t="s">
        <v>10</v>
      </c>
      <c r="E7" s="28" t="str" cm="1">
        <f t="array" ref="E7">IFERROR(_xlfn.XLOOKUP(C7&amp;B7,'Rejestr nowości - Styczeń  2026'!$C$2:$C$36&amp;'Rejestr nowości - Styczeń  2026'!$B$2:$B$36,'Rejestr nowości - Styczeń  2026'!$E$2:$E$36),"")</f>
        <v>TBC</v>
      </c>
      <c r="F7" s="5" t="str" cm="1">
        <f t="array" ref="F7">IFERROR(_xlfn.XLOOKUP(C7&amp;B7,'Rejestr nowości - Styczeń  2026'!$C$2:$C$36&amp;'Rejestr nowości - Styczeń  2026'!$B$2:$B$36,'Rejestr nowości - Styczeń  2026'!$F$2:$F$36),"")</f>
        <v>TBC</v>
      </c>
      <c r="G7" s="6">
        <v>300</v>
      </c>
      <c r="H7" s="6">
        <v>500</v>
      </c>
      <c r="I7" s="6" t="s">
        <v>16</v>
      </c>
      <c r="J7" s="15">
        <v>46087</v>
      </c>
      <c r="L7" s="10"/>
    </row>
    <row r="8" spans="1:12" x14ac:dyDescent="0.25">
      <c r="A8" t="s">
        <v>7</v>
      </c>
      <c r="B8" s="1" t="s">
        <v>17</v>
      </c>
      <c r="C8" s="4" t="s">
        <v>57</v>
      </c>
      <c r="D8" s="5" t="s">
        <v>10</v>
      </c>
      <c r="E8" s="28" t="str" cm="1">
        <f t="array" ref="E8">IFERROR(_xlfn.XLOOKUP(C8&amp;B8,'Rejestr nowości - Styczeń  2026'!$C$2:$C$36&amp;'Rejestr nowości - Styczeń  2026'!$B$2:$B$36,'Rejestr nowości - Styczeń  2026'!$E$2:$E$36),"")</f>
        <v/>
      </c>
      <c r="F8" s="5" t="str" cm="1">
        <f t="array" ref="F8">IFERROR(_xlfn.XLOOKUP(C8&amp;B8,'Rejestr nowości - Styczeń  2026'!$C$2:$C$36&amp;'Rejestr nowości - Styczeń  2026'!$B$2:$B$36,'Rejestr nowości - Styczeń  2026'!$F$2:$F$36),"")</f>
        <v/>
      </c>
      <c r="G8" s="6">
        <v>500</v>
      </c>
      <c r="H8" s="6">
        <v>2000</v>
      </c>
      <c r="I8" s="6" t="s">
        <v>16</v>
      </c>
      <c r="J8" s="15">
        <v>46129</v>
      </c>
    </row>
    <row r="9" spans="1:12" ht="15" customHeight="1" x14ac:dyDescent="0.25">
      <c r="A9" s="2" t="s">
        <v>25</v>
      </c>
      <c r="B9" s="1" t="s">
        <v>29</v>
      </c>
      <c r="C9" s="8" t="s">
        <v>30</v>
      </c>
      <c r="D9" s="5" t="s">
        <v>10</v>
      </c>
      <c r="E9" s="28" cm="1">
        <f t="array" ref="E9">IFERROR(_xlfn.XLOOKUP(C9&amp;B9,'Rejestr nowości - Styczeń  2026'!$C$2:$C$36&amp;'Rejestr nowości - Styczeń  2026'!$B$2:$B$36,'Rejestr nowości - Styczeń  2026'!$E$2:$E$36),"")</f>
        <v>6000</v>
      </c>
      <c r="F9" s="5" cm="1">
        <f t="array" ref="F9">IFERROR(_xlfn.XLOOKUP(C9&amp;B9,'Rejestr nowości - Styczeń  2026'!$C$2:$C$36&amp;'Rejestr nowości - Styczeń  2026'!$B$2:$B$36,'Rejestr nowości - Styczeń  2026'!$F$2:$F$36),"")</f>
        <v>6500</v>
      </c>
      <c r="G9" s="6">
        <v>6300</v>
      </c>
      <c r="H9" s="6">
        <v>6800</v>
      </c>
      <c r="I9" s="6"/>
      <c r="J9" s="15">
        <v>45404</v>
      </c>
    </row>
    <row r="10" spans="1:12" x14ac:dyDescent="0.25">
      <c r="A10" t="s">
        <v>7</v>
      </c>
      <c r="B10" s="1" t="s">
        <v>17</v>
      </c>
      <c r="C10" s="8" t="s">
        <v>18</v>
      </c>
      <c r="D10" s="5" t="s">
        <v>10</v>
      </c>
      <c r="E10" s="28" cm="1">
        <f t="array" ref="E10">IFERROR(_xlfn.XLOOKUP(C10&amp;B10,'Rejestr nowości - Styczeń  2026'!$C$2:$C$36&amp;'Rejestr nowości - Styczeń  2026'!$B$2:$B$36,'Rejestr nowości - Styczeń  2026'!$E$2:$E$36),"")</f>
        <v>4000</v>
      </c>
      <c r="F10" s="5" cm="1">
        <f t="array" ref="F10">IFERROR(_xlfn.XLOOKUP(C10&amp;B10,'Rejestr nowości - Styczeń  2026'!$C$2:$C$36&amp;'Rejestr nowości - Styczeń  2026'!$B$2:$B$36,'Rejestr nowości - Styczeń  2026'!$F$2:$F$36),"")</f>
        <v>5000</v>
      </c>
      <c r="G10" s="6">
        <v>4000</v>
      </c>
      <c r="H10" s="6">
        <v>5000</v>
      </c>
      <c r="I10" s="6"/>
      <c r="J10" s="15">
        <v>45807</v>
      </c>
    </row>
    <row r="11" spans="1:12" x14ac:dyDescent="0.25">
      <c r="A11" s="2" t="s">
        <v>25</v>
      </c>
      <c r="B11" s="1" t="s">
        <v>29</v>
      </c>
      <c r="C11" s="8" t="s">
        <v>31</v>
      </c>
      <c r="D11" s="5" t="s">
        <v>10</v>
      </c>
      <c r="E11" s="28" cm="1">
        <f t="array" ref="E11">IFERROR(_xlfn.XLOOKUP(C11&amp;B11,'Rejestr nowości - Styczeń  2026'!$C$2:$C$36&amp;'Rejestr nowości - Styczeń  2026'!$B$2:$B$36,'Rejestr nowości - Styczeń  2026'!$E$2:$E$36),"")</f>
        <v>18000</v>
      </c>
      <c r="F11" s="5" cm="1">
        <f t="array" ref="F11">IFERROR(_xlfn.XLOOKUP(C11&amp;B11,'Rejestr nowości - Styczeń  2026'!$C$2:$C$36&amp;'Rejestr nowości - Styczeń  2026'!$B$2:$B$36,'Rejestr nowości - Styczeń  2026'!$F$2:$F$36),"")</f>
        <v>24000</v>
      </c>
      <c r="G11" s="6">
        <v>26000</v>
      </c>
      <c r="H11" s="6">
        <v>28000</v>
      </c>
      <c r="I11" s="6"/>
      <c r="J11" s="15">
        <v>45483</v>
      </c>
    </row>
    <row r="12" spans="1:12" x14ac:dyDescent="0.25">
      <c r="A12" t="s">
        <v>7</v>
      </c>
      <c r="B12" s="1" t="s">
        <v>17</v>
      </c>
      <c r="C12" s="4" t="s">
        <v>22</v>
      </c>
      <c r="D12" s="5" t="s">
        <v>10</v>
      </c>
      <c r="E12" s="28" cm="1">
        <f t="array" ref="E12">IFERROR(_xlfn.XLOOKUP(C12&amp;B12,'Rejestr nowości - Styczeń  2026'!$C$2:$C$36&amp;'Rejestr nowości - Styczeń  2026'!$B$2:$B$36,'Rejestr nowości - Styczeń  2026'!$E$2:$E$36),"")</f>
        <v>200</v>
      </c>
      <c r="F12" s="5" cm="1">
        <f t="array" ref="F12">IFERROR(_xlfn.XLOOKUP(C12&amp;B12,'Rejestr nowości - Styczeń  2026'!$C$2:$C$36&amp;'Rejestr nowości - Styczeń  2026'!$B$2:$B$36,'Rejestr nowości - Styczeń  2026'!$F$2:$F$36),"")</f>
        <v>300</v>
      </c>
      <c r="G12" s="6">
        <v>200</v>
      </c>
      <c r="H12" s="6">
        <v>300</v>
      </c>
      <c r="I12" s="3"/>
      <c r="J12" s="15">
        <v>45930</v>
      </c>
    </row>
    <row r="13" spans="1:12" x14ac:dyDescent="0.25">
      <c r="A13" s="2" t="s">
        <v>25</v>
      </c>
      <c r="B13" s="1" t="s">
        <v>29</v>
      </c>
      <c r="C13" s="8" t="s">
        <v>32</v>
      </c>
      <c r="D13" s="5" t="s">
        <v>10</v>
      </c>
      <c r="E13" s="28" cm="1">
        <f t="array" ref="E13">IFERROR(_xlfn.XLOOKUP(C13&amp;B13,'Rejestr nowości - Styczeń  2026'!$C$2:$C$36&amp;'Rejestr nowości - Styczeń  2026'!$B$2:$B$36,'Rejestr nowości - Styczeń  2026'!$E$2:$E$36),"")</f>
        <v>4000</v>
      </c>
      <c r="F13" s="5" cm="1">
        <f t="array" ref="F13">IFERROR(_xlfn.XLOOKUP(C13&amp;B13,'Rejestr nowości - Styczeń  2026'!$C$2:$C$36&amp;'Rejestr nowości - Styczeń  2026'!$B$2:$B$36,'Rejestr nowości - Styczeń  2026'!$F$2:$F$36),"")</f>
        <v>5000</v>
      </c>
      <c r="G13" s="6">
        <v>4600</v>
      </c>
      <c r="H13" s="6">
        <v>5500</v>
      </c>
      <c r="I13" s="6"/>
      <c r="J13" s="15">
        <v>45793</v>
      </c>
    </row>
    <row r="14" spans="1:12" x14ac:dyDescent="0.25">
      <c r="A14" s="2" t="s">
        <v>7</v>
      </c>
      <c r="B14" s="1" t="s">
        <v>8</v>
      </c>
      <c r="C14" s="4" t="s">
        <v>9</v>
      </c>
      <c r="D14" s="5" t="s">
        <v>10</v>
      </c>
      <c r="E14" s="28" cm="1">
        <f t="array" ref="E14">IFERROR(_xlfn.XLOOKUP(C14&amp;B14,'Rejestr nowości - Styczeń  2026'!$C$2:$C$36&amp;'Rejestr nowości - Styczeń  2026'!$B$2:$B$36,'Rejestr nowości - Styczeń  2026'!$E$2:$E$36),"")</f>
        <v>2000</v>
      </c>
      <c r="F14" s="5" cm="1">
        <f t="array" ref="F14">IFERROR(_xlfn.XLOOKUP(C14&amp;B14,'Rejestr nowości - Styczeń  2026'!$C$2:$C$36&amp;'Rejestr nowości - Styczeń  2026'!$B$2:$B$36,'Rejestr nowości - Styczeń  2026'!$F$2:$F$36),"")</f>
        <v>3000</v>
      </c>
      <c r="G14" s="6">
        <v>2000</v>
      </c>
      <c r="H14" s="6">
        <v>3000</v>
      </c>
      <c r="I14" s="3"/>
      <c r="J14" s="15">
        <v>45777</v>
      </c>
    </row>
    <row r="15" spans="1:12" x14ac:dyDescent="0.25">
      <c r="A15" t="s">
        <v>40</v>
      </c>
      <c r="B15" s="18" t="s">
        <v>40</v>
      </c>
      <c r="C15" s="27" t="s">
        <v>48</v>
      </c>
      <c r="D15" s="20" t="s">
        <v>10</v>
      </c>
      <c r="E15" s="28" cm="1">
        <f t="array" ref="E15">IFERROR(_xlfn.XLOOKUP(C15&amp;B15,'Rejestr nowości - Styczeń  2026'!$C$2:$C$36&amp;'Rejestr nowości - Styczeń  2026'!$B$2:$B$36,'Rejestr nowości - Styczeń  2026'!$E$2:$E$36),"")</f>
        <v>250</v>
      </c>
      <c r="F15" s="5" cm="1">
        <f t="array" ref="F15">IFERROR(_xlfn.XLOOKUP(C15&amp;B15,'Rejestr nowości - Styczeń  2026'!$C$2:$C$36&amp;'Rejestr nowości - Styczeń  2026'!$B$2:$B$36,'Rejestr nowości - Styczeń  2026'!$F$2:$F$36),"")</f>
        <v>250</v>
      </c>
      <c r="G15" s="21">
        <v>250</v>
      </c>
      <c r="H15" s="21">
        <v>250</v>
      </c>
      <c r="I15" s="21"/>
      <c r="J15" s="22">
        <v>45167</v>
      </c>
      <c r="K15" s="11" t="s">
        <v>47</v>
      </c>
    </row>
    <row r="16" spans="1:12" x14ac:dyDescent="0.25">
      <c r="A16" t="s">
        <v>25</v>
      </c>
      <c r="B16" s="1" t="s">
        <v>66</v>
      </c>
      <c r="C16" s="8" t="s">
        <v>36</v>
      </c>
      <c r="D16" s="5" t="s">
        <v>10</v>
      </c>
      <c r="E16" s="28" cm="1">
        <f t="array" ref="E16">IFERROR(_xlfn.XLOOKUP(C16&amp;B16,'Rejestr nowości - Styczeń  2026'!$C$2:$C$36&amp;'Rejestr nowości - Styczeń  2026'!$B$2:$B$36,'Rejestr nowości - Styczeń  2026'!$E$2:$E$36),"")</f>
        <v>100</v>
      </c>
      <c r="F16" s="5" cm="1">
        <f t="array" ref="F16">IFERROR(_xlfn.XLOOKUP(C16&amp;B16,'Rejestr nowości - Styczeń  2026'!$C$2:$C$36&amp;'Rejestr nowości - Styczeń  2026'!$B$2:$B$36,'Rejestr nowości - Styczeń  2026'!$F$2:$F$36),"")</f>
        <v>100</v>
      </c>
      <c r="G16" s="6">
        <v>30</v>
      </c>
      <c r="H16" s="6">
        <v>100</v>
      </c>
      <c r="I16" s="6"/>
      <c r="J16" s="15">
        <v>45905</v>
      </c>
      <c r="K16" s="11" t="s">
        <v>28</v>
      </c>
    </row>
    <row r="17" spans="1:14" x14ac:dyDescent="0.25">
      <c r="A17" t="s">
        <v>25</v>
      </c>
      <c r="B17" s="1" t="s">
        <v>66</v>
      </c>
      <c r="C17" s="8" t="s">
        <v>60</v>
      </c>
      <c r="D17" s="5" t="s">
        <v>10</v>
      </c>
      <c r="E17" s="28" t="str" cm="1">
        <f t="array" ref="E17">IFERROR(_xlfn.XLOOKUP(C17&amp;B17,'Rejestr nowości - Styczeń  2026'!$C$2:$C$36&amp;'Rejestr nowości - Styczeń  2026'!$B$2:$B$36,'Rejestr nowości - Styczeń  2026'!$E$2:$E$36),"")</f>
        <v/>
      </c>
      <c r="F17" s="5" t="str" cm="1">
        <f t="array" ref="F17">IFERROR(_xlfn.XLOOKUP(C17&amp;B17,'Rejestr nowości - Styczeń  2026'!$C$2:$C$36&amp;'Rejestr nowości - Styczeń  2026'!$B$2:$B$36,'Rejestr nowości - Styczeń  2026'!$F$2:$F$36),"")</f>
        <v/>
      </c>
      <c r="G17" s="6">
        <v>200</v>
      </c>
      <c r="H17" s="6">
        <v>4500</v>
      </c>
      <c r="I17" s="6" t="s">
        <v>16</v>
      </c>
      <c r="J17" s="17"/>
      <c r="N17" s="29"/>
    </row>
    <row r="18" spans="1:14" x14ac:dyDescent="0.25">
      <c r="A18" t="s">
        <v>40</v>
      </c>
      <c r="B18" s="1" t="s">
        <v>40</v>
      </c>
      <c r="C18" s="4" t="s">
        <v>49</v>
      </c>
      <c r="D18" s="5" t="s">
        <v>10</v>
      </c>
      <c r="E18" s="28" cm="1">
        <f t="array" ref="E18">IFERROR(_xlfn.XLOOKUP(C18&amp;B18,'Rejestr nowości - Styczeń  2026'!$C$2:$C$36&amp;'Rejestr nowości - Styczeń  2026'!$B$2:$B$36,'Rejestr nowości - Styczeń  2026'!$E$2:$E$36),"")</f>
        <v>200</v>
      </c>
      <c r="F18" s="5" cm="1">
        <f t="array" ref="F18">IFERROR(_xlfn.XLOOKUP(C18&amp;B18,'Rejestr nowości - Styczeń  2026'!$C$2:$C$36&amp;'Rejestr nowości - Styczeń  2026'!$B$2:$B$36,'Rejestr nowości - Styczeń  2026'!$F$2:$F$36),"")</f>
        <v>200</v>
      </c>
      <c r="G18" s="6">
        <v>200</v>
      </c>
      <c r="H18" s="6">
        <v>200</v>
      </c>
      <c r="I18" s="6"/>
      <c r="J18" s="15">
        <v>45581</v>
      </c>
    </row>
    <row r="19" spans="1:14" x14ac:dyDescent="0.25">
      <c r="A19" t="s">
        <v>40</v>
      </c>
      <c r="B19" s="1" t="s">
        <v>40</v>
      </c>
      <c r="C19" s="4" t="s">
        <v>50</v>
      </c>
      <c r="D19" s="5" t="s">
        <v>10</v>
      </c>
      <c r="E19" s="28" cm="1">
        <f t="array" ref="E19">IFERROR(_xlfn.XLOOKUP(C19&amp;B19,'Rejestr nowości - Styczeń  2026'!$C$2:$C$36&amp;'Rejestr nowości - Styczeń  2026'!$B$2:$B$36,'Rejestr nowości - Styczeń  2026'!$E$2:$E$36),"")</f>
        <v>1000</v>
      </c>
      <c r="F19" s="5" cm="1">
        <f t="array" ref="F19">IFERROR(_xlfn.XLOOKUP(C19&amp;B19,'Rejestr nowości - Styczeń  2026'!$C$2:$C$36&amp;'Rejestr nowości - Styczeń  2026'!$B$2:$B$36,'Rejestr nowości - Styczeń  2026'!$F$2:$F$36),"")</f>
        <v>1000</v>
      </c>
      <c r="G19" s="6">
        <v>1000</v>
      </c>
      <c r="H19" s="6">
        <v>1000</v>
      </c>
      <c r="I19" s="6"/>
      <c r="J19" s="15">
        <v>45593</v>
      </c>
    </row>
    <row r="20" spans="1:14" x14ac:dyDescent="0.25">
      <c r="A20" s="2" t="s">
        <v>25</v>
      </c>
      <c r="B20" s="1" t="s">
        <v>26</v>
      </c>
      <c r="C20" s="8" t="s">
        <v>27</v>
      </c>
      <c r="D20" s="5" t="s">
        <v>10</v>
      </c>
      <c r="E20" s="28" cm="1">
        <f t="array" ref="E20">IFERROR(_xlfn.XLOOKUP(C20&amp;B20,'Rejestr nowości - Styczeń  2026'!$C$2:$C$36&amp;'Rejestr nowości - Styczeń  2026'!$B$2:$B$36,'Rejestr nowości - Styczeń  2026'!$E$2:$E$36),"")</f>
        <v>800</v>
      </c>
      <c r="F20" s="5" cm="1">
        <f t="array" ref="F20">IFERROR(_xlfn.XLOOKUP(C20&amp;B20,'Rejestr nowości - Styczeń  2026'!$C$2:$C$36&amp;'Rejestr nowości - Styczeń  2026'!$B$2:$B$36,'Rejestr nowości - Styczeń  2026'!$F$2:$F$36),"")</f>
        <v>1200</v>
      </c>
      <c r="G20" s="6">
        <v>1300</v>
      </c>
      <c r="H20" s="6">
        <v>1800</v>
      </c>
      <c r="I20" s="6"/>
      <c r="J20" s="15">
        <v>45950</v>
      </c>
      <c r="K20" s="11" t="s">
        <v>28</v>
      </c>
    </row>
    <row r="21" spans="1:14" x14ac:dyDescent="0.25">
      <c r="A21" t="s">
        <v>25</v>
      </c>
      <c r="B21" s="1" t="s">
        <v>66</v>
      </c>
      <c r="C21" s="8" t="s">
        <v>27</v>
      </c>
      <c r="D21" s="5" t="s">
        <v>10</v>
      </c>
      <c r="E21" s="28" cm="1">
        <f t="array" ref="E21">IFERROR(_xlfn.XLOOKUP(C21&amp;B21,'Rejestr nowości - Styczeń  2026'!$C$2:$C$36&amp;'Rejestr nowości - Styczeń  2026'!$B$2:$B$36,'Rejestr nowości - Styczeń  2026'!$E$2:$E$36),"")</f>
        <v>800</v>
      </c>
      <c r="F21" s="5" cm="1">
        <f t="array" ref="F21">IFERROR(_xlfn.XLOOKUP(C21&amp;B21,'Rejestr nowości - Styczeń  2026'!$C$2:$C$36&amp;'Rejestr nowości - Styczeń  2026'!$B$2:$B$36,'Rejestr nowości - Styczeń  2026'!$F$2:$F$36),"")</f>
        <v>1200</v>
      </c>
      <c r="G21" s="6">
        <v>800</v>
      </c>
      <c r="H21" s="6">
        <v>1200</v>
      </c>
      <c r="I21" s="6"/>
      <c r="J21" s="15">
        <v>45950</v>
      </c>
    </row>
    <row r="22" spans="1:14" x14ac:dyDescent="0.25">
      <c r="A22" t="s">
        <v>25</v>
      </c>
      <c r="B22" s="1" t="s">
        <v>43</v>
      </c>
      <c r="C22" s="8" t="s">
        <v>27</v>
      </c>
      <c r="D22" s="5" t="s">
        <v>10</v>
      </c>
      <c r="E22" s="28" cm="1">
        <f t="array" ref="E22">IFERROR(_xlfn.XLOOKUP(C22&amp;B22,'Rejestr nowości - Styczeń  2026'!$C$2:$C$36&amp;'Rejestr nowości - Styczeń  2026'!$B$2:$B$36,'Rejestr nowości - Styczeń  2026'!$E$2:$E$36),"")</f>
        <v>600</v>
      </c>
      <c r="F22" s="5" cm="1">
        <f t="array" ref="F22">IFERROR(_xlfn.XLOOKUP(C22&amp;B22,'Rejestr nowości - Styczeń  2026'!$C$2:$C$36&amp;'Rejestr nowości - Styczeń  2026'!$B$2:$B$36,'Rejestr nowości - Styczeń  2026'!$F$2:$F$36),"")</f>
        <v>800</v>
      </c>
      <c r="G22" s="6">
        <v>1100</v>
      </c>
      <c r="H22" s="6">
        <v>1500</v>
      </c>
      <c r="I22" s="6"/>
      <c r="J22" s="15">
        <v>45930</v>
      </c>
    </row>
    <row r="23" spans="1:14" x14ac:dyDescent="0.25">
      <c r="A23" t="s">
        <v>40</v>
      </c>
      <c r="B23" s="1" t="s">
        <v>40</v>
      </c>
      <c r="C23" s="4" t="s">
        <v>51</v>
      </c>
      <c r="D23" s="5" t="s">
        <v>10</v>
      </c>
      <c r="E23" s="28" cm="1">
        <f t="array" ref="E23">IFERROR(_xlfn.XLOOKUP(C23&amp;B23,'Rejestr nowości - Styczeń  2026'!$C$2:$C$36&amp;'Rejestr nowości - Styczeń  2026'!$B$2:$B$36,'Rejestr nowości - Styczeń  2026'!$E$2:$E$36),"")</f>
        <v>60</v>
      </c>
      <c r="F23" s="5" cm="1">
        <f t="array" ref="F23">IFERROR(_xlfn.XLOOKUP(C23&amp;B23,'Rejestr nowości - Styczeń  2026'!$C$2:$C$36&amp;'Rejestr nowości - Styczeń  2026'!$B$2:$B$36,'Rejestr nowości - Styczeń  2026'!$F$2:$F$36),"")</f>
        <v>60</v>
      </c>
      <c r="G23" s="6">
        <v>100</v>
      </c>
      <c r="H23" s="6">
        <v>120</v>
      </c>
      <c r="I23" s="6"/>
      <c r="J23" s="15">
        <v>45793</v>
      </c>
      <c r="K23" s="11" t="s">
        <v>61</v>
      </c>
    </row>
    <row r="24" spans="1:14" x14ac:dyDescent="0.25">
      <c r="A24" t="s">
        <v>7</v>
      </c>
      <c r="B24" s="1" t="s">
        <v>17</v>
      </c>
      <c r="C24" s="4" t="s">
        <v>23</v>
      </c>
      <c r="D24" s="5" t="s">
        <v>10</v>
      </c>
      <c r="E24" s="28" t="str" cm="1">
        <f t="array" ref="E24">IFERROR(_xlfn.XLOOKUP(C24&amp;B24,'Rejestr nowości - Styczeń  2026'!$C$2:$C$36&amp;'Rejestr nowości - Styczeń  2026'!$B$2:$B$36,'Rejestr nowości - Styczeń  2026'!$E$2:$E$36),"")</f>
        <v>TBC</v>
      </c>
      <c r="F24" s="5" t="str" cm="1">
        <f t="array" ref="F24">IFERROR(_xlfn.XLOOKUP(C24&amp;B24,'Rejestr nowości - Styczeń  2026'!$C$2:$C$36&amp;'Rejestr nowości - Styczeń  2026'!$B$2:$B$36,'Rejestr nowości - Styczeń  2026'!$F$2:$F$36),"")</f>
        <v>TBC</v>
      </c>
      <c r="G24" s="6">
        <v>200</v>
      </c>
      <c r="H24" s="6">
        <v>500</v>
      </c>
      <c r="I24" s="6" t="s">
        <v>16</v>
      </c>
      <c r="J24" s="15">
        <v>46080</v>
      </c>
      <c r="K24" s="11" t="s">
        <v>56</v>
      </c>
    </row>
    <row r="25" spans="1:14" x14ac:dyDescent="0.25">
      <c r="A25" t="s">
        <v>7</v>
      </c>
      <c r="B25" s="1" t="s">
        <v>17</v>
      </c>
      <c r="C25" s="8" t="s">
        <v>19</v>
      </c>
      <c r="D25" s="5" t="s">
        <v>10</v>
      </c>
      <c r="E25" s="28" cm="1">
        <f t="array" ref="E25">IFERROR(_xlfn.XLOOKUP(C25&amp;B25,'Rejestr nowości - Styczeń  2026'!$C$2:$C$36&amp;'Rejestr nowości - Styczeń  2026'!$B$2:$B$36,'Rejestr nowości - Styczeń  2026'!$E$2:$E$36),"")</f>
        <v>2000</v>
      </c>
      <c r="F25" s="5" cm="1">
        <f t="array" ref="F25">IFERROR(_xlfn.XLOOKUP(C25&amp;B25,'Rejestr nowości - Styczeń  2026'!$C$2:$C$36&amp;'Rejestr nowości - Styczeń  2026'!$B$2:$B$36,'Rejestr nowości - Styczeń  2026'!$F$2:$F$36),"")</f>
        <v>3000</v>
      </c>
      <c r="G25" s="6">
        <v>500</v>
      </c>
      <c r="H25" s="6">
        <v>750</v>
      </c>
      <c r="I25" s="3"/>
      <c r="J25" s="15">
        <v>45803</v>
      </c>
      <c r="K25" s="11" t="s">
        <v>61</v>
      </c>
    </row>
    <row r="26" spans="1:14" x14ac:dyDescent="0.25">
      <c r="A26" t="s">
        <v>40</v>
      </c>
      <c r="B26" s="1" t="s">
        <v>40</v>
      </c>
      <c r="C26" s="4" t="s">
        <v>52</v>
      </c>
      <c r="D26" s="5" t="s">
        <v>10</v>
      </c>
      <c r="E26" s="28" cm="1">
        <f t="array" ref="E26">IFERROR(_xlfn.XLOOKUP(C26&amp;B26,'Rejestr nowości - Styczeń  2026'!$C$2:$C$36&amp;'Rejestr nowości - Styczeń  2026'!$B$2:$B$36,'Rejestr nowości - Styczeń  2026'!$E$2:$E$36),"")</f>
        <v>300</v>
      </c>
      <c r="F26" s="5" cm="1">
        <f t="array" ref="F26">IFERROR(_xlfn.XLOOKUP(C26&amp;B26,'Rejestr nowości - Styczeń  2026'!$C$2:$C$36&amp;'Rejestr nowości - Styczeń  2026'!$B$2:$B$36,'Rejestr nowości - Styczeń  2026'!$F$2:$F$36),"")</f>
        <v>300</v>
      </c>
      <c r="G26" s="6">
        <v>400</v>
      </c>
      <c r="H26" s="6">
        <v>450</v>
      </c>
      <c r="I26" s="6"/>
      <c r="J26" s="15">
        <v>45658</v>
      </c>
      <c r="K26" s="11" t="s">
        <v>61</v>
      </c>
      <c r="N26" s="29"/>
    </row>
    <row r="27" spans="1:14" ht="18" customHeight="1" x14ac:dyDescent="0.25">
      <c r="A27" t="s">
        <v>25</v>
      </c>
      <c r="B27" s="1" t="s">
        <v>38</v>
      </c>
      <c r="C27" s="8" t="s">
        <v>39</v>
      </c>
      <c r="D27" s="5" t="s">
        <v>10</v>
      </c>
      <c r="E27" s="28" cm="1">
        <f t="array" ref="E27">IFERROR(_xlfn.XLOOKUP(C27&amp;B27,'Rejestr nowości - Styczeń  2026'!$C$2:$C$36&amp;'Rejestr nowości - Styczeń  2026'!$B$2:$B$36,'Rejestr nowości - Styczeń  2026'!$E$2:$E$36),"")</f>
        <v>600</v>
      </c>
      <c r="F27" s="5" cm="1">
        <f t="array" ref="F27">IFERROR(_xlfn.XLOOKUP(C27&amp;B27,'Rejestr nowości - Styczeń  2026'!$C$2:$C$36&amp;'Rejestr nowości - Styczeń  2026'!$B$2:$B$36,'Rejestr nowości - Styczeń  2026'!$F$2:$F$36),"")</f>
        <v>700</v>
      </c>
      <c r="G27" s="6">
        <v>850</v>
      </c>
      <c r="H27" s="6">
        <v>1000</v>
      </c>
      <c r="I27" s="6"/>
      <c r="J27" s="15">
        <v>45658</v>
      </c>
    </row>
    <row r="28" spans="1:14" x14ac:dyDescent="0.25">
      <c r="A28" t="s">
        <v>25</v>
      </c>
      <c r="B28" s="1" t="s">
        <v>67</v>
      </c>
      <c r="C28" s="8" t="s">
        <v>44</v>
      </c>
      <c r="D28" s="5" t="s">
        <v>10</v>
      </c>
      <c r="E28" s="28" t="str" cm="1">
        <f t="array" ref="E28">IFERROR(_xlfn.XLOOKUP(C28&amp;B28,'Rejestr nowości - Styczeń  2026'!$C$2:$C$36&amp;'Rejestr nowości - Styczeń  2026'!$B$2:$B$36,'Rejestr nowości - Styczeń  2026'!$E$2:$E$36),"")</f>
        <v/>
      </c>
      <c r="F28" s="5" t="str" cm="1">
        <f t="array" ref="F28">IFERROR(_xlfn.XLOOKUP(C28&amp;B28,'Rejestr nowości - Styczeń  2026'!$C$2:$C$36&amp;'Rejestr nowości - Styczeń  2026'!$B$2:$B$36,'Rejestr nowości - Styczeń  2026'!$F$2:$F$36),"")</f>
        <v/>
      </c>
      <c r="G28" s="6">
        <v>150</v>
      </c>
      <c r="H28" s="6">
        <v>800</v>
      </c>
      <c r="I28" s="6"/>
      <c r="J28" s="17">
        <v>45989</v>
      </c>
    </row>
    <row r="29" spans="1:14" x14ac:dyDescent="0.25">
      <c r="A29" s="2" t="s">
        <v>7</v>
      </c>
      <c r="B29" s="1" t="s">
        <v>8</v>
      </c>
      <c r="C29" s="8" t="s">
        <v>11</v>
      </c>
      <c r="D29" s="5" t="s">
        <v>10</v>
      </c>
      <c r="E29" s="28" cm="1">
        <f t="array" ref="E29">IFERROR(_xlfn.XLOOKUP(C29&amp;B29,'Rejestr nowości - Styczeń  2026'!$C$2:$C$36&amp;'Rejestr nowości - Styczeń  2026'!$B$2:$B$36,'Rejestr nowości - Styczeń  2026'!$E$2:$E$36),"")</f>
        <v>1000</v>
      </c>
      <c r="F29" s="5" cm="1">
        <f t="array" ref="F29">IFERROR(_xlfn.XLOOKUP(C29&amp;B29,'Rejestr nowości - Styczeń  2026'!$C$2:$C$36&amp;'Rejestr nowości - Styczeń  2026'!$B$2:$B$36,'Rejestr nowości - Styczeń  2026'!$F$2:$F$36),"")</f>
        <v>2000</v>
      </c>
      <c r="G29" s="6">
        <v>1000</v>
      </c>
      <c r="H29" s="6">
        <v>2000</v>
      </c>
      <c r="I29" s="3"/>
      <c r="J29" s="16">
        <v>45961</v>
      </c>
      <c r="K29" s="12"/>
    </row>
    <row r="30" spans="1:14" x14ac:dyDescent="0.25">
      <c r="A30" t="s">
        <v>40</v>
      </c>
      <c r="B30" s="1" t="s">
        <v>40</v>
      </c>
      <c r="C30" s="4" t="s">
        <v>53</v>
      </c>
      <c r="D30" s="5" t="s">
        <v>10</v>
      </c>
      <c r="E30" s="28" cm="1">
        <f t="array" ref="E30">IFERROR(_xlfn.XLOOKUP(C30&amp;B30,'Rejestr nowości - Styczeń  2026'!$C$2:$C$36&amp;'Rejestr nowości - Styczeń  2026'!$B$2:$B$36,'Rejestr nowości - Styczeń  2026'!$E$2:$E$36),"")</f>
        <v>50</v>
      </c>
      <c r="F30" s="5" cm="1">
        <f t="array" ref="F30">IFERROR(_xlfn.XLOOKUP(C30&amp;B30,'Rejestr nowości - Styczeń  2026'!$C$2:$C$36&amp;'Rejestr nowości - Styczeń  2026'!$B$2:$B$36,'Rejestr nowości - Styczeń  2026'!$F$2:$F$36),"")</f>
        <v>50</v>
      </c>
      <c r="G30" s="6">
        <v>50</v>
      </c>
      <c r="H30" s="6">
        <v>50</v>
      </c>
      <c r="I30" s="6"/>
      <c r="J30" s="15">
        <v>45777</v>
      </c>
      <c r="N30" s="29"/>
    </row>
    <row r="31" spans="1:14" ht="17.25" customHeight="1" x14ac:dyDescent="0.25">
      <c r="A31" s="2" t="s">
        <v>7</v>
      </c>
      <c r="B31" s="1" t="s">
        <v>8</v>
      </c>
      <c r="C31" s="8" t="s">
        <v>12</v>
      </c>
      <c r="D31" s="5" t="s">
        <v>10</v>
      </c>
      <c r="E31" s="28" cm="1">
        <f t="array" ref="E31">IFERROR(_xlfn.XLOOKUP(C31&amp;B31,'Rejestr nowości - Styczeń  2026'!$C$2:$C$36&amp;'Rejestr nowości - Styczeń  2026'!$B$2:$B$36,'Rejestr nowości - Styczeń  2026'!$E$2:$E$36),"")</f>
        <v>1000</v>
      </c>
      <c r="F31" s="5" cm="1">
        <f t="array" ref="F31">IFERROR(_xlfn.XLOOKUP(C31&amp;B31,'Rejestr nowości - Styczeń  2026'!$C$2:$C$36&amp;'Rejestr nowości - Styczeń  2026'!$B$2:$B$36,'Rejestr nowości - Styczeń  2026'!$F$2:$F$36),"")</f>
        <v>1000</v>
      </c>
      <c r="G31" s="23">
        <v>1000</v>
      </c>
      <c r="H31" s="23">
        <v>1000</v>
      </c>
      <c r="I31" s="6"/>
      <c r="J31" s="15">
        <v>45600</v>
      </c>
    </row>
    <row r="32" spans="1:14" ht="16.5" customHeight="1" x14ac:dyDescent="0.25">
      <c r="A32" t="s">
        <v>25</v>
      </c>
      <c r="B32" s="1" t="s">
        <v>67</v>
      </c>
      <c r="C32" s="8" t="s">
        <v>42</v>
      </c>
      <c r="D32" s="5" t="s">
        <v>10</v>
      </c>
      <c r="E32" s="28" t="str" cm="1">
        <f t="array" ref="E32">IFERROR(_xlfn.XLOOKUP(C32&amp;B32,'Rejestr nowości - Styczeń  2026'!$C$2:$C$36&amp;'Rejestr nowości - Styczeń  2026'!$B$2:$B$36,'Rejestr nowości - Styczeń  2026'!$E$2:$E$36),"")</f>
        <v/>
      </c>
      <c r="F32" s="5" t="str" cm="1">
        <f t="array" ref="F32">IFERROR(_xlfn.XLOOKUP(C32&amp;B32,'Rejestr nowości - Styczeń  2026'!$C$2:$C$36&amp;'Rejestr nowości - Styczeń  2026'!$B$2:$B$36,'Rejestr nowości - Styczeń  2026'!$F$2:$F$36),"")</f>
        <v/>
      </c>
      <c r="G32" s="6">
        <v>240</v>
      </c>
      <c r="H32" s="6">
        <v>250</v>
      </c>
      <c r="I32" s="6"/>
      <c r="J32" s="15">
        <v>45772</v>
      </c>
    </row>
    <row r="33" spans="1:11" x14ac:dyDescent="0.25">
      <c r="A33" t="s">
        <v>25</v>
      </c>
      <c r="B33" s="1" t="s">
        <v>66</v>
      </c>
      <c r="C33" s="8" t="s">
        <v>37</v>
      </c>
      <c r="D33" t="s">
        <v>10</v>
      </c>
      <c r="E33" s="28" cm="1">
        <f t="array" ref="E33">IFERROR(_xlfn.XLOOKUP(C33&amp;B33,'Rejestr nowości - Styczeń  2026'!$C$2:$C$36&amp;'Rejestr nowości - Styczeń  2026'!$B$2:$B$36,'Rejestr nowości - Styczeń  2026'!$E$2:$E$36),"")</f>
        <v>4000</v>
      </c>
      <c r="F33" s="5" cm="1">
        <f t="array" ref="F33">IFERROR(_xlfn.XLOOKUP(C33&amp;B33,'Rejestr nowości - Styczeń  2026'!$C$2:$C$36&amp;'Rejestr nowości - Styczeń  2026'!$B$2:$B$36,'Rejestr nowości - Styczeń  2026'!$F$2:$F$36),"")</f>
        <v>5000</v>
      </c>
      <c r="G33" s="6">
        <v>2500</v>
      </c>
      <c r="H33" s="6">
        <v>5000</v>
      </c>
      <c r="I33" s="6"/>
      <c r="J33" s="15">
        <v>45960</v>
      </c>
      <c r="K33" s="11" t="s">
        <v>28</v>
      </c>
    </row>
    <row r="34" spans="1:11" x14ac:dyDescent="0.25">
      <c r="A34" t="s">
        <v>40</v>
      </c>
      <c r="B34" s="1" t="s">
        <v>40</v>
      </c>
      <c r="C34" s="4" t="s">
        <v>54</v>
      </c>
      <c r="D34" s="5" t="s">
        <v>10</v>
      </c>
      <c r="E34" s="28" cm="1">
        <f t="array" ref="E34">IFERROR(_xlfn.XLOOKUP(C34&amp;B34,'Rejestr nowości - Styczeń  2026'!$C$2:$C$36&amp;'Rejestr nowości - Styczeń  2026'!$B$2:$B$36,'Rejestr nowości - Styczeń  2026'!$E$2:$E$36),"")</f>
        <v>150</v>
      </c>
      <c r="F34" s="5" cm="1">
        <f t="array" ref="F34">IFERROR(_xlfn.XLOOKUP(C34&amp;B34,'Rejestr nowości - Styczeń  2026'!$C$2:$C$36&amp;'Rejestr nowości - Styczeń  2026'!$B$2:$B$36,'Rejestr nowości - Styczeń  2026'!$F$2:$F$36),"")</f>
        <v>150</v>
      </c>
      <c r="G34" s="6">
        <v>250</v>
      </c>
      <c r="H34" s="6">
        <v>300</v>
      </c>
      <c r="I34" s="6"/>
      <c r="J34" s="15">
        <v>45468</v>
      </c>
      <c r="K34" s="11" t="s">
        <v>61</v>
      </c>
    </row>
    <row r="35" spans="1:11" x14ac:dyDescent="0.25">
      <c r="A35" t="s">
        <v>7</v>
      </c>
      <c r="B35" s="1" t="s">
        <v>17</v>
      </c>
      <c r="C35" s="4" t="s">
        <v>24</v>
      </c>
      <c r="D35" s="5" t="s">
        <v>10</v>
      </c>
      <c r="E35" s="28" t="str" cm="1">
        <f t="array" ref="E35">IFERROR(_xlfn.XLOOKUP(C35&amp;B35,'Rejestr nowości - Styczeń  2026'!$C$2:$C$36&amp;'Rejestr nowości - Styczeń  2026'!$B$2:$B$36,'Rejestr nowości - Styczeń  2026'!$E$2:$E$36),"")</f>
        <v>TBC</v>
      </c>
      <c r="F35" s="5" t="str" cm="1">
        <f t="array" ref="F35">IFERROR(_xlfn.XLOOKUP(C35&amp;B35,'Rejestr nowości - Styczeń  2026'!$C$2:$C$36&amp;'Rejestr nowości - Styczeń  2026'!$B$2:$B$36,'Rejestr nowości - Styczeń  2026'!$F$2:$F$36),"")</f>
        <v>TBC</v>
      </c>
      <c r="G35" s="6">
        <v>1500</v>
      </c>
      <c r="H35" s="6">
        <v>2500</v>
      </c>
      <c r="I35" s="6" t="s">
        <v>16</v>
      </c>
      <c r="J35" s="15">
        <v>46052</v>
      </c>
    </row>
    <row r="36" spans="1:11" x14ac:dyDescent="0.25">
      <c r="A36" t="s">
        <v>7</v>
      </c>
      <c r="B36" s="1" t="s">
        <v>17</v>
      </c>
      <c r="C36" s="8" t="s">
        <v>20</v>
      </c>
      <c r="D36" s="5" t="s">
        <v>10</v>
      </c>
      <c r="E36" s="28" cm="1">
        <f t="array" ref="E36">IFERROR(_xlfn.XLOOKUP(C36&amp;B36,'Rejestr nowości - Styczeń  2026'!$C$2:$C$36&amp;'Rejestr nowości - Styczeń  2026'!$B$2:$B$36,'Rejestr nowości - Styczeń  2026'!$E$2:$E$36),"")</f>
        <v>500</v>
      </c>
      <c r="F36" s="5" cm="1">
        <f t="array" ref="F36">IFERROR(_xlfn.XLOOKUP(C36&amp;B36,'Rejestr nowości - Styczeń  2026'!$C$2:$C$36&amp;'Rejestr nowości - Styczeń  2026'!$B$2:$B$36,'Rejestr nowości - Styczeń  2026'!$F$2:$F$36),"")</f>
        <v>500</v>
      </c>
      <c r="G36" s="6">
        <v>500</v>
      </c>
      <c r="H36" s="9">
        <v>500</v>
      </c>
      <c r="I36" s="9"/>
      <c r="J36" s="15">
        <v>45807</v>
      </c>
    </row>
    <row r="37" spans="1:11" x14ac:dyDescent="0.25">
      <c r="A37" s="2" t="s">
        <v>7</v>
      </c>
      <c r="B37" s="1" t="s">
        <v>8</v>
      </c>
      <c r="C37" s="8" t="s">
        <v>13</v>
      </c>
      <c r="D37" s="5" t="s">
        <v>10</v>
      </c>
      <c r="E37" s="28" cm="1">
        <f t="array" ref="E37">IFERROR(_xlfn.XLOOKUP(C37&amp;B37,'Rejestr nowości - Styczeń  2026'!$C$2:$C$36&amp;'Rejestr nowości - Styczeń  2026'!$B$2:$B$36,'Rejestr nowości - Styczeń  2026'!$E$2:$E$36),"")</f>
        <v>600</v>
      </c>
      <c r="F37" s="5" cm="1">
        <f t="array" ref="F37">IFERROR(_xlfn.XLOOKUP(C37&amp;B37,'Rejestr nowości - Styczeń  2026'!$C$2:$C$36&amp;'Rejestr nowości - Styczeń  2026'!$B$2:$B$36,'Rejestr nowości - Styczeń  2026'!$F$2:$F$36),"")</f>
        <v>1000</v>
      </c>
      <c r="G37" s="6">
        <v>600</v>
      </c>
      <c r="H37" s="6">
        <v>1000</v>
      </c>
      <c r="I37" s="6"/>
      <c r="J37" s="15">
        <v>45877</v>
      </c>
    </row>
    <row r="38" spans="1:11" x14ac:dyDescent="0.25">
      <c r="A38" t="s">
        <v>7</v>
      </c>
      <c r="B38" s="1" t="s">
        <v>17</v>
      </c>
      <c r="C38" s="4" t="s">
        <v>58</v>
      </c>
      <c r="D38" s="5" t="s">
        <v>59</v>
      </c>
      <c r="E38" s="28" t="str" cm="1">
        <f t="array" ref="E38">IFERROR(_xlfn.XLOOKUP(C38&amp;B38,'Rejestr nowości - Styczeń  2026'!$C$2:$C$36&amp;'Rejestr nowości - Styczeń  2026'!$B$2:$B$36,'Rejestr nowości - Styczeń  2026'!$E$2:$E$36),"")</f>
        <v/>
      </c>
      <c r="F38" s="5" t="str" cm="1">
        <f t="array" ref="F38">IFERROR(_xlfn.XLOOKUP(C38&amp;B38,'Rejestr nowości - Styczeń  2026'!$C$2:$C$36&amp;'Rejestr nowości - Styczeń  2026'!$B$2:$B$36,'Rejestr nowości - Styczeń  2026'!$F$2:$F$36),"")</f>
        <v/>
      </c>
      <c r="G38" s="6">
        <v>250</v>
      </c>
      <c r="H38" s="6">
        <v>750</v>
      </c>
      <c r="I38" s="6" t="s">
        <v>16</v>
      </c>
      <c r="J38" s="15">
        <v>46129</v>
      </c>
    </row>
  </sheetData>
  <autoFilter ref="A1:K38" xr:uid="{0AE83E34-85FA-4FE7-BCD5-5B2FC7BA633E}">
    <sortState xmlns:xlrd2="http://schemas.microsoft.com/office/spreadsheetml/2017/richdata2" ref="A2:K38">
      <sortCondition ref="C1:C38"/>
    </sortState>
  </autoFilter>
  <conditionalFormatting sqref="C1:C1048576">
    <cfRule type="duplicateValues" dxfId="0" priority="1"/>
  </conditionalFormatting>
  <conditionalFormatting sqref="K33 K9:K12 K17:K18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5A4-1E25-494E-BE1D-408F50156C28}">
  <dimension ref="A1:A35"/>
  <sheetViews>
    <sheetView workbookViewId="0">
      <selection activeCell="A35" sqref="A35"/>
    </sheetView>
  </sheetViews>
  <sheetFormatPr defaultRowHeight="15" x14ac:dyDescent="0.25"/>
  <sheetData>
    <row r="1" spans="1:1" x14ac:dyDescent="0.25">
      <c r="A1" s="24"/>
    </row>
    <row r="2" spans="1:1" x14ac:dyDescent="0.25">
      <c r="A2" s="25"/>
    </row>
    <row r="3" spans="1:1" x14ac:dyDescent="0.25">
      <c r="A3" s="24"/>
    </row>
    <row r="4" spans="1:1" x14ac:dyDescent="0.25">
      <c r="A4" s="25"/>
    </row>
    <row r="5" spans="1:1" x14ac:dyDescent="0.25">
      <c r="A5" s="25"/>
    </row>
    <row r="6" spans="1:1" x14ac:dyDescent="0.25">
      <c r="A6" s="25"/>
    </row>
    <row r="7" spans="1:1" x14ac:dyDescent="0.25">
      <c r="A7" s="26"/>
    </row>
    <row r="8" spans="1:1" x14ac:dyDescent="0.25">
      <c r="A8" s="24"/>
    </row>
    <row r="9" spans="1:1" x14ac:dyDescent="0.25">
      <c r="A9" s="25"/>
    </row>
    <row r="10" spans="1:1" x14ac:dyDescent="0.25">
      <c r="A10" s="25"/>
    </row>
    <row r="11" spans="1:1" x14ac:dyDescent="0.25">
      <c r="A11" s="25"/>
    </row>
    <row r="12" spans="1:1" x14ac:dyDescent="0.25">
      <c r="A12" s="24"/>
    </row>
    <row r="13" spans="1:1" x14ac:dyDescent="0.25">
      <c r="A13" s="25"/>
    </row>
    <row r="14" spans="1:1" x14ac:dyDescent="0.25">
      <c r="A14" s="24"/>
    </row>
    <row r="15" spans="1:1" x14ac:dyDescent="0.25">
      <c r="A15" s="25"/>
    </row>
    <row r="16" spans="1:1" x14ac:dyDescent="0.25">
      <c r="A16" s="24"/>
    </row>
    <row r="17" spans="1:1" x14ac:dyDescent="0.25">
      <c r="A17" s="24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4"/>
    </row>
    <row r="22" spans="1:1" x14ac:dyDescent="0.25">
      <c r="A22" s="24"/>
    </row>
    <row r="23" spans="1:1" x14ac:dyDescent="0.25">
      <c r="A23" s="25"/>
    </row>
    <row r="24" spans="1:1" x14ac:dyDescent="0.25">
      <c r="A24" s="24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4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4"/>
    </row>
    <row r="33" spans="1:1" x14ac:dyDescent="0.25">
      <c r="A33" s="24"/>
    </row>
    <row r="34" spans="1:1" x14ac:dyDescent="0.25">
      <c r="A34" s="25"/>
    </row>
    <row r="35" spans="1:1" x14ac:dyDescent="0.25">
      <c r="A35" s="25"/>
    </row>
  </sheetData>
  <sortState xmlns:xlrd2="http://schemas.microsoft.com/office/spreadsheetml/2017/richdata2" ref="A2:A35">
    <sortCondition ref="A2:A3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56ee8-3944-4807-bed3-6cc94b30b2e9}" enabled="0" method="" siteId="{67256ee8-3944-4807-bed3-6cc94b30b2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Rejestr nowości - Styczeń  2026</vt:lpstr>
      <vt:lpstr>Rejestr nowości - Luty 2026</vt:lpstr>
      <vt:lpstr>Rejestr nowości - Marzec 2026</vt:lpstr>
      <vt:lpstr>Rejestr nowości - Kwiecień 2026</vt:lpstr>
      <vt:lpstr>Rejestr nowości - Maj 2026</vt:lpstr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Krzysztof Godlewski</dc:creator>
  <cp:keywords/>
  <dc:description/>
  <cp:lastModifiedBy>Łukasz Wójcik</cp:lastModifiedBy>
  <cp:revision/>
  <dcterms:created xsi:type="dcterms:W3CDTF">2025-09-10T06:52:52Z</dcterms:created>
  <dcterms:modified xsi:type="dcterms:W3CDTF">2026-06-08T12:37:33Z</dcterms:modified>
  <cp:category/>
  <cp:contentStatus/>
</cp:coreProperties>
</file>