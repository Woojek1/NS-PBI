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wystylglobal-my.sharepoint.com/personal/lukasz_wojcik_nowystyl_com/Documents/Dokumenty/GitHub/NS-PBI/Sprzedaż modeli PLUS/"/>
    </mc:Choice>
  </mc:AlternateContent>
  <xr:revisionPtr revIDLastSave="44" documentId="8_{8D6D89DA-533B-4960-A900-2F89A6C3A4A7}" xr6:coauthVersionLast="47" xr6:coauthVersionMax="47" xr10:uidLastSave="{8106419F-BA53-4685-B60D-0D3B0F6E72C6}"/>
  <bookViews>
    <workbookView xWindow="-120" yWindow="-120" windowWidth="29040" windowHeight="15720" activeTab="1" xr2:uid="{B8B23EA3-07A9-44BA-AA7F-DC8458D5B041}"/>
  </bookViews>
  <sheets>
    <sheet name="modele PLUS" sheetId="1" r:id="rId1"/>
    <sheet name="Podsumowanie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<sst xmlns="http://schemas.openxmlformats.org/spreadsheetml/2006/main" count="162" uniqueCount="31">
  <si>
    <t>Linia</t>
  </si>
  <si>
    <t>Miesiąc kod</t>
  </si>
  <si>
    <t>Sprz netto PLN</t>
  </si>
  <si>
    <t>czy_linIa_ma_plus</t>
  </si>
  <si>
    <t>Sprz netto PLN PLUS</t>
  </si>
  <si>
    <t>stosunek_PLUS_do_linia</t>
  </si>
  <si>
    <t>CS5040</t>
  </si>
  <si>
    <t>M-2025-01</t>
  </si>
  <si>
    <t>TAK</t>
  </si>
  <si>
    <t>M-2025-02</t>
  </si>
  <si>
    <t>M-2025-03</t>
  </si>
  <si>
    <t>M-2025-04</t>
  </si>
  <si>
    <t>M-2025-05</t>
  </si>
  <si>
    <t>M-2025-06</t>
  </si>
  <si>
    <t>M-2025-07</t>
  </si>
  <si>
    <t>M-2025-08</t>
  </si>
  <si>
    <t>M-2025-09</t>
  </si>
  <si>
    <t>M-2025-10</t>
  </si>
  <si>
    <t>M-2025-11</t>
  </si>
  <si>
    <t>M-2025-12</t>
  </si>
  <si>
    <t>Easy Space</t>
  </si>
  <si>
    <t>eComo</t>
  </si>
  <si>
    <t>eModel 3.0</t>
  </si>
  <si>
    <t>K40</t>
  </si>
  <si>
    <t>Multiline komponenty</t>
  </si>
  <si>
    <t>Etykiety wierszy</t>
  </si>
  <si>
    <t>Suma końcowa</t>
  </si>
  <si>
    <t>Suma z Sprz netto PLN</t>
  </si>
  <si>
    <t>Suma z Sprz netto PLN PLUS</t>
  </si>
  <si>
    <t>Udział % PLUS w sprzedaży</t>
  </si>
  <si>
    <t>Sprzedaż Grupy NSG za wyjątkiem Sitag i Węgier gdzie pokazujemy sprzedaż wewnętrzną z Polski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</si>
</sst>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zł&quot;;[Red]\-#,##0\ &quot;zł&quot;"/>
  </numFmts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6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3" fontId="0" fillId="0" borderId="0" xfId="0" applyNumberFormat="1"/>
    <xf numFmtId="0" fontId="18" fillId="0" borderId="0" xfId="0" applyFo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6">
    <dxf>
      <numFmt numFmtId="3" formatCode="#,##0"/>
    </dxf>
    <dxf>
      <numFmt numFmtId="3" formatCode="#,##0"/>
    </dxf>
    <dxf>
      <numFmt numFmtId="14" formatCode="0.00%"/>
    </dxf>
    <dxf>
      <numFmt numFmtId="14" formatCode="0.00%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Łukasz Wójcik" refreshedDate="46042.420970486113" createdVersion="8" refreshedVersion="8" minRefreshableVersion="3" recordCount="36" xr:uid="{D630FA1F-EE5C-4E28-A42E-0E3F63859C15}">
  <cacheSource type="worksheet">
    <worksheetSource ref="A1:F37" sheet="modele PLUS"/>
  </cacheSource>
  <cacheFields count="7">
    <cacheField name="Linia" numFmtId="0">
      <sharedItems count="6">
        <s v="CS5040"/>
        <s v="Easy Space"/>
        <s v="eComo"/>
        <s v="eModel 3.0"/>
        <s v="K40"/>
        <s v="Multiline komponenty"/>
      </sharedItems>
    </cacheField>
    <cacheField name="Miesiąc kod" numFmtId="0">
      <sharedItems count="12">
        <s v="M-2025-10"/>
        <s v="M-2025-11"/>
        <s v="M-2025-12"/>
        <s v="M-2025-01"/>
        <s v="M-2025-02"/>
        <s v="M-2025-03"/>
        <s v="M-2025-04"/>
        <s v="M-2025-05"/>
        <s v="M-2025-06"/>
        <s v="M-2025-07"/>
        <s v="M-2025-08"/>
        <s v="M-2025-09"/>
      </sharedItems>
    </cacheField>
    <cacheField name="Sprz netto PLN" numFmtId="6">
      <sharedItems containsSemiMixedTypes="0" containsString="0" containsNumber="1" containsInteger="1" minValue="673231" maxValue="13015853"/>
    </cacheField>
    <cacheField name="czy_linIa_ma_plus" numFmtId="0">
      <sharedItems/>
    </cacheField>
    <cacheField name="Sprz netto PLN PLUS" numFmtId="0">
      <sharedItems containsString="0" containsBlank="1" containsNumber="1" containsInteger="1" minValue="757" maxValue="234059"/>
    </cacheField>
    <cacheField name="stosunek_PLUS_do_linia" numFmtId="0">
      <sharedItems containsString="0" containsBlank="1" containsNumber="1" minValue="1E-4" maxValue="7.9899999999999999E-2"/>
    </cacheField>
    <cacheField name="udział PLUS" numFmtId="0" formula="'Sprz netto PLN PLUS'/'Sprz netto PLN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n v="2084592"/>
    <s v="TAK"/>
    <n v="1129"/>
    <n v="5.0000000000000001E-4"/>
  </r>
  <r>
    <x v="0"/>
    <x v="1"/>
    <n v="3288308"/>
    <s v="TAK"/>
    <n v="15806"/>
    <n v="4.7999999999999996E-3"/>
  </r>
  <r>
    <x v="0"/>
    <x v="2"/>
    <n v="3046329"/>
    <s v="TAK"/>
    <n v="32640"/>
    <n v="1.0699999999999999E-2"/>
  </r>
  <r>
    <x v="1"/>
    <x v="3"/>
    <n v="4445965"/>
    <s v="TAK"/>
    <n v="2754"/>
    <n v="5.9999999999999995E-4"/>
  </r>
  <r>
    <x v="1"/>
    <x v="4"/>
    <n v="5049413"/>
    <s v="TAK"/>
    <n v="852"/>
    <n v="2.0000000000000001E-4"/>
  </r>
  <r>
    <x v="1"/>
    <x v="5"/>
    <n v="5403134"/>
    <s v="TAK"/>
    <m/>
    <m/>
  </r>
  <r>
    <x v="1"/>
    <x v="6"/>
    <n v="4163511"/>
    <s v="TAK"/>
    <m/>
    <m/>
  </r>
  <r>
    <x v="1"/>
    <x v="7"/>
    <n v="4405350"/>
    <s v="TAK"/>
    <m/>
    <m/>
  </r>
  <r>
    <x v="1"/>
    <x v="8"/>
    <n v="5535613"/>
    <s v="TAK"/>
    <m/>
    <m/>
  </r>
  <r>
    <x v="1"/>
    <x v="9"/>
    <n v="5579536"/>
    <s v="TAK"/>
    <m/>
    <m/>
  </r>
  <r>
    <x v="1"/>
    <x v="10"/>
    <n v="6688871"/>
    <s v="TAK"/>
    <n v="2285"/>
    <n v="2.9999999999999997E-4"/>
  </r>
  <r>
    <x v="1"/>
    <x v="11"/>
    <n v="6752392"/>
    <s v="TAK"/>
    <n v="757"/>
    <n v="1E-4"/>
  </r>
  <r>
    <x v="1"/>
    <x v="0"/>
    <n v="6281416"/>
    <s v="TAK"/>
    <n v="11643"/>
    <n v="1.9E-3"/>
  </r>
  <r>
    <x v="1"/>
    <x v="1"/>
    <n v="6127654"/>
    <s v="TAK"/>
    <n v="234059"/>
    <n v="3.8199999999999998E-2"/>
  </r>
  <r>
    <x v="1"/>
    <x v="2"/>
    <n v="6053361"/>
    <s v="TAK"/>
    <n v="184873"/>
    <n v="3.0499999999999999E-2"/>
  </r>
  <r>
    <x v="2"/>
    <x v="7"/>
    <n v="848257"/>
    <s v="TAK"/>
    <n v="1218"/>
    <n v="1.4E-3"/>
  </r>
  <r>
    <x v="2"/>
    <x v="8"/>
    <n v="1095935"/>
    <s v="TAK"/>
    <m/>
    <m/>
  </r>
  <r>
    <x v="2"/>
    <x v="9"/>
    <n v="1055418"/>
    <s v="TAK"/>
    <m/>
    <m/>
  </r>
  <r>
    <x v="2"/>
    <x v="10"/>
    <n v="807571"/>
    <s v="TAK"/>
    <m/>
    <m/>
  </r>
  <r>
    <x v="2"/>
    <x v="11"/>
    <n v="827248"/>
    <s v="TAK"/>
    <m/>
    <m/>
  </r>
  <r>
    <x v="2"/>
    <x v="0"/>
    <n v="772309"/>
    <s v="TAK"/>
    <n v="8437"/>
    <n v="1.09E-2"/>
  </r>
  <r>
    <x v="2"/>
    <x v="1"/>
    <n v="673231"/>
    <s v="TAK"/>
    <n v="44636"/>
    <n v="6.6299999999999998E-2"/>
  </r>
  <r>
    <x v="2"/>
    <x v="2"/>
    <n v="954493"/>
    <s v="TAK"/>
    <n v="76247"/>
    <n v="7.9899999999999999E-2"/>
  </r>
  <r>
    <x v="3"/>
    <x v="0"/>
    <n v="9365191"/>
    <s v="TAK"/>
    <n v="12278"/>
    <n v="1.2999999999999999E-3"/>
  </r>
  <r>
    <x v="3"/>
    <x v="1"/>
    <n v="7816924"/>
    <s v="TAK"/>
    <n v="65928"/>
    <n v="8.3999999999999995E-3"/>
  </r>
  <r>
    <x v="3"/>
    <x v="2"/>
    <n v="10617930"/>
    <s v="TAK"/>
    <n v="84652"/>
    <n v="8.0000000000000002E-3"/>
  </r>
  <r>
    <x v="4"/>
    <x v="10"/>
    <n v="4840660"/>
    <s v="TAK"/>
    <n v="1152"/>
    <n v="2.0000000000000001E-4"/>
  </r>
  <r>
    <x v="4"/>
    <x v="11"/>
    <n v="4404319"/>
    <s v="TAK"/>
    <n v="51064"/>
    <n v="1.1599999999999999E-2"/>
  </r>
  <r>
    <x v="4"/>
    <x v="0"/>
    <n v="4556088"/>
    <s v="TAK"/>
    <n v="69871"/>
    <n v="1.5299999999999999E-2"/>
  </r>
  <r>
    <x v="4"/>
    <x v="1"/>
    <n v="5246957"/>
    <s v="TAK"/>
    <n v="37133"/>
    <n v="7.1000000000000004E-3"/>
  </r>
  <r>
    <x v="4"/>
    <x v="2"/>
    <n v="5393441"/>
    <s v="TAK"/>
    <n v="102920"/>
    <n v="1.9099999999999999E-2"/>
  </r>
  <r>
    <x v="5"/>
    <x v="10"/>
    <n v="7840989"/>
    <s v="TAK"/>
    <n v="2827"/>
    <n v="4.0000000000000002E-4"/>
  </r>
  <r>
    <x v="5"/>
    <x v="11"/>
    <n v="8926719"/>
    <s v="TAK"/>
    <n v="72833"/>
    <n v="8.2000000000000007E-3"/>
  </r>
  <r>
    <x v="5"/>
    <x v="0"/>
    <n v="9438206"/>
    <s v="TAK"/>
    <n v="44365"/>
    <n v="4.7000000000000002E-3"/>
  </r>
  <r>
    <x v="5"/>
    <x v="1"/>
    <n v="9985630"/>
    <s v="TAK"/>
    <n v="69560"/>
    <n v="7.0000000000000001E-3"/>
  </r>
  <r>
    <x v="5"/>
    <x v="2"/>
    <n v="13015853"/>
    <s v="TAK"/>
    <n v="99300"/>
    <n v="7.6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703267-E282-491A-B25A-A6E93AD32E7D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D46" firstHeaderRow="0" firstDataRow="1" firstDataCol="1"/>
  <pivotFields count="7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3">
        <item x="3"/>
        <item x="4"/>
        <item x="5"/>
        <item x="6"/>
        <item x="7"/>
        <item x="8"/>
        <item x="9"/>
        <item x="10"/>
        <item x="11"/>
        <item x="0"/>
        <item x="1"/>
        <item x="2"/>
        <item t="default"/>
      </items>
    </pivotField>
    <pivotField dataField="1" numFmtId="6" showAll="0"/>
    <pivotField showAll="0"/>
    <pivotField dataField="1" showAll="0"/>
    <pivotField showAll="0"/>
    <pivotField dataField="1" dragToRow="0" dragToCol="0" dragToPage="0" showAll="0" defaultSubtotal="0"/>
  </pivotFields>
  <rowFields count="2">
    <field x="0"/>
    <field x="1"/>
  </rowFields>
  <rowItems count="43">
    <i>
      <x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 v="9"/>
    </i>
    <i r="1">
      <x v="10"/>
    </i>
    <i r="1">
      <x v="11"/>
    </i>
    <i>
      <x v="4"/>
    </i>
    <i r="1">
      <x v="7"/>
    </i>
    <i r="1">
      <x v="8"/>
    </i>
    <i r="1">
      <x v="9"/>
    </i>
    <i r="1">
      <x v="10"/>
    </i>
    <i r="1">
      <x v="11"/>
    </i>
    <i>
      <x v="5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z Sprz netto PLN" fld="2" baseField="0" baseItem="0" numFmtId="3"/>
    <dataField name="Suma z Sprz netto PLN PLUS" fld="4" baseField="0" baseItem="0" numFmtId="3"/>
    <dataField name="Udział % PLUS w sprzedaży" fld="6" subtotal="count" baseField="0" baseItem="0" numFmtId="10"/>
  </dataFields>
  <formats count="6"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B7BA9-AEB3-479E-A88E-4B6C82E3D9AD}">
  <dimension ref="A1:F37"/>
  <sheetViews>
    <sheetView workbookViewId="0">
      <selection activeCell="E21" sqref="E21"/>
    </sheetView>
  </sheetViews>
  <sheetFormatPr defaultRowHeight="15" x14ac:dyDescent="0.25"/>
  <cols>
    <col min="1" max="1" width="20.28515625" bestFit="1" customWidth="1"/>
    <col min="2" max="2" width="11.5703125" bestFit="1" customWidth="1"/>
    <col min="3" max="3" width="13.5703125" customWidth="1"/>
    <col min="4" max="4" width="17.28515625" bestFit="1" customWidth="1"/>
    <col min="5" max="5" width="18.42578125" bestFit="1" customWidth="1"/>
    <col min="6" max="6" width="22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17</v>
      </c>
      <c r="C2" s="1">
        <v>2084592</v>
      </c>
      <c r="D2" t="s">
        <v>8</v>
      </c>
      <c r="E2" s="1">
        <v>1129</v>
      </c>
      <c r="F2" s="2">
        <v>5.0000000000000001E-4</v>
      </c>
    </row>
    <row r="3" spans="1:6" x14ac:dyDescent="0.25">
      <c r="A3" t="s">
        <v>6</v>
      </c>
      <c r="B3" t="s">
        <v>18</v>
      </c>
      <c r="C3" s="1">
        <v>3288308</v>
      </c>
      <c r="D3" t="s">
        <v>8</v>
      </c>
      <c r="E3" s="1">
        <v>15806</v>
      </c>
      <c r="F3" s="2">
        <v>4.7999999999999996E-3</v>
      </c>
    </row>
    <row r="4" spans="1:6" x14ac:dyDescent="0.25">
      <c r="A4" t="s">
        <v>6</v>
      </c>
      <c r="B4" t="s">
        <v>19</v>
      </c>
      <c r="C4" s="1">
        <v>3046329</v>
      </c>
      <c r="D4" t="s">
        <v>8</v>
      </c>
      <c r="E4" s="1">
        <v>32640</v>
      </c>
      <c r="F4" s="2">
        <v>1.0699999999999999E-2</v>
      </c>
    </row>
    <row r="5" spans="1:6" x14ac:dyDescent="0.25">
      <c r="A5" t="s">
        <v>20</v>
      </c>
      <c r="B5" t="s">
        <v>7</v>
      </c>
      <c r="C5" s="1">
        <v>4445965</v>
      </c>
      <c r="D5" t="s">
        <v>8</v>
      </c>
      <c r="E5" s="1">
        <v>2754</v>
      </c>
      <c r="F5" s="2">
        <v>5.9999999999999995E-4</v>
      </c>
    </row>
    <row r="6" spans="1:6" x14ac:dyDescent="0.25">
      <c r="A6" t="s">
        <v>20</v>
      </c>
      <c r="B6" t="s">
        <v>9</v>
      </c>
      <c r="C6" s="1">
        <v>5049413</v>
      </c>
      <c r="D6" t="s">
        <v>8</v>
      </c>
      <c r="E6" s="1">
        <v>852</v>
      </c>
      <c r="F6" s="2">
        <v>2.0000000000000001E-4</v>
      </c>
    </row>
    <row r="7" spans="1:6" x14ac:dyDescent="0.25">
      <c r="A7" t="s">
        <v>20</v>
      </c>
      <c r="B7" t="s">
        <v>10</v>
      </c>
      <c r="C7" s="1">
        <v>5403134</v>
      </c>
      <c r="D7" t="s">
        <v>8</v>
      </c>
    </row>
    <row r="8" spans="1:6" x14ac:dyDescent="0.25">
      <c r="A8" t="s">
        <v>20</v>
      </c>
      <c r="B8" t="s">
        <v>11</v>
      </c>
      <c r="C8" s="1">
        <v>4163511</v>
      </c>
      <c r="D8" t="s">
        <v>8</v>
      </c>
    </row>
    <row r="9" spans="1:6" x14ac:dyDescent="0.25">
      <c r="A9" t="s">
        <v>20</v>
      </c>
      <c r="B9" t="s">
        <v>12</v>
      </c>
      <c r="C9" s="1">
        <v>4405350</v>
      </c>
      <c r="D9" t="s">
        <v>8</v>
      </c>
    </row>
    <row r="10" spans="1:6" x14ac:dyDescent="0.25">
      <c r="A10" t="s">
        <v>20</v>
      </c>
      <c r="B10" t="s">
        <v>13</v>
      </c>
      <c r="C10" s="1">
        <v>5535613</v>
      </c>
      <c r="D10" t="s">
        <v>8</v>
      </c>
    </row>
    <row r="11" spans="1:6" x14ac:dyDescent="0.25">
      <c r="A11" t="s">
        <v>20</v>
      </c>
      <c r="B11" t="s">
        <v>14</v>
      </c>
      <c r="C11" s="1">
        <v>5579536</v>
      </c>
      <c r="D11" t="s">
        <v>8</v>
      </c>
    </row>
    <row r="12" spans="1:6" x14ac:dyDescent="0.25">
      <c r="A12" t="s">
        <v>20</v>
      </c>
      <c r="B12" t="s">
        <v>15</v>
      </c>
      <c r="C12" s="1">
        <v>6688871</v>
      </c>
      <c r="D12" t="s">
        <v>8</v>
      </c>
      <c r="E12" s="1">
        <v>2285</v>
      </c>
      <c r="F12" s="2">
        <v>2.9999999999999997E-4</v>
      </c>
    </row>
    <row r="13" spans="1:6" x14ac:dyDescent="0.25">
      <c r="A13" t="s">
        <v>20</v>
      </c>
      <c r="B13" t="s">
        <v>16</v>
      </c>
      <c r="C13" s="1">
        <v>6752392</v>
      </c>
      <c r="D13" t="s">
        <v>8</v>
      </c>
      <c r="E13" s="1">
        <v>757</v>
      </c>
      <c r="F13" s="2">
        <v>1E-4</v>
      </c>
    </row>
    <row r="14" spans="1:6" x14ac:dyDescent="0.25">
      <c r="A14" t="s">
        <v>20</v>
      </c>
      <c r="B14" t="s">
        <v>17</v>
      </c>
      <c r="C14" s="1">
        <v>6281416</v>
      </c>
      <c r="D14" t="s">
        <v>8</v>
      </c>
      <c r="E14" s="1">
        <v>11643</v>
      </c>
      <c r="F14" s="2">
        <v>1.9E-3</v>
      </c>
    </row>
    <row r="15" spans="1:6" x14ac:dyDescent="0.25">
      <c r="A15" t="s">
        <v>20</v>
      </c>
      <c r="B15" t="s">
        <v>18</v>
      </c>
      <c r="C15" s="1">
        <v>6127654</v>
      </c>
      <c r="D15" t="s">
        <v>8</v>
      </c>
      <c r="E15" s="1">
        <v>234059</v>
      </c>
      <c r="F15" s="2">
        <v>3.8199999999999998E-2</v>
      </c>
    </row>
    <row r="16" spans="1:6" x14ac:dyDescent="0.25">
      <c r="A16" t="s">
        <v>20</v>
      </c>
      <c r="B16" t="s">
        <v>19</v>
      </c>
      <c r="C16" s="1">
        <v>6053361</v>
      </c>
      <c r="D16" t="s">
        <v>8</v>
      </c>
      <c r="E16" s="1">
        <v>184873</v>
      </c>
      <c r="F16" s="2">
        <v>3.0499999999999999E-2</v>
      </c>
    </row>
    <row r="17" spans="1:6" x14ac:dyDescent="0.25">
      <c r="A17" t="s">
        <v>21</v>
      </c>
      <c r="B17" t="s">
        <v>12</v>
      </c>
      <c r="C17" s="1">
        <v>848257</v>
      </c>
      <c r="D17" t="s">
        <v>8</v>
      </c>
      <c r="E17" s="1">
        <v>1218</v>
      </c>
      <c r="F17" s="2">
        <v>1.4E-3</v>
      </c>
    </row>
    <row r="18" spans="1:6" x14ac:dyDescent="0.25">
      <c r="A18" t="s">
        <v>21</v>
      </c>
      <c r="B18" t="s">
        <v>13</v>
      </c>
      <c r="C18" s="1">
        <v>1095935</v>
      </c>
      <c r="D18" t="s">
        <v>8</v>
      </c>
    </row>
    <row r="19" spans="1:6" x14ac:dyDescent="0.25">
      <c r="A19" t="s">
        <v>21</v>
      </c>
      <c r="B19" t="s">
        <v>14</v>
      </c>
      <c r="C19" s="1">
        <v>1055418</v>
      </c>
      <c r="D19" t="s">
        <v>8</v>
      </c>
    </row>
    <row r="20" spans="1:6" x14ac:dyDescent="0.25">
      <c r="A20" t="s">
        <v>21</v>
      </c>
      <c r="B20" t="s">
        <v>15</v>
      </c>
      <c r="C20" s="1">
        <v>807571</v>
      </c>
      <c r="D20" t="s">
        <v>8</v>
      </c>
    </row>
    <row r="21" spans="1:6" x14ac:dyDescent="0.25">
      <c r="A21" t="s">
        <v>21</v>
      </c>
      <c r="B21" t="s">
        <v>16</v>
      </c>
      <c r="C21" s="1">
        <v>827248</v>
      </c>
      <c r="D21" t="s">
        <v>8</v>
      </c>
    </row>
    <row r="22" spans="1:6" x14ac:dyDescent="0.25">
      <c r="A22" t="s">
        <v>21</v>
      </c>
      <c r="B22" t="s">
        <v>17</v>
      </c>
      <c r="C22" s="1">
        <v>772309</v>
      </c>
      <c r="D22" t="s">
        <v>8</v>
      </c>
      <c r="E22" s="1">
        <v>8437</v>
      </c>
      <c r="F22" s="2">
        <v>1.09E-2</v>
      </c>
    </row>
    <row r="23" spans="1:6" x14ac:dyDescent="0.25">
      <c r="A23" t="s">
        <v>21</v>
      </c>
      <c r="B23" t="s">
        <v>18</v>
      </c>
      <c r="C23" s="1">
        <v>673231</v>
      </c>
      <c r="D23" t="s">
        <v>8</v>
      </c>
      <c r="E23" s="1">
        <v>44636</v>
      </c>
      <c r="F23" s="2">
        <v>6.6299999999999998E-2</v>
      </c>
    </row>
    <row r="24" spans="1:6" x14ac:dyDescent="0.25">
      <c r="A24" t="s">
        <v>21</v>
      </c>
      <c r="B24" t="s">
        <v>19</v>
      </c>
      <c r="C24" s="1">
        <v>954493</v>
      </c>
      <c r="D24" t="s">
        <v>8</v>
      </c>
      <c r="E24" s="1">
        <v>76247</v>
      </c>
      <c r="F24" s="2">
        <v>7.9899999999999999E-2</v>
      </c>
    </row>
    <row r="25" spans="1:6" x14ac:dyDescent="0.25">
      <c r="A25" t="s">
        <v>22</v>
      </c>
      <c r="B25" t="s">
        <v>17</v>
      </c>
      <c r="C25" s="1">
        <v>9365191</v>
      </c>
      <c r="D25" t="s">
        <v>8</v>
      </c>
      <c r="E25" s="1">
        <v>12278</v>
      </c>
      <c r="F25" s="2">
        <v>1.2999999999999999E-3</v>
      </c>
    </row>
    <row r="26" spans="1:6" x14ac:dyDescent="0.25">
      <c r="A26" t="s">
        <v>22</v>
      </c>
      <c r="B26" t="s">
        <v>18</v>
      </c>
      <c r="C26" s="1">
        <v>7816924</v>
      </c>
      <c r="D26" t="s">
        <v>8</v>
      </c>
      <c r="E26" s="1">
        <v>65928</v>
      </c>
      <c r="F26" s="2">
        <v>8.3999999999999995E-3</v>
      </c>
    </row>
    <row r="27" spans="1:6" x14ac:dyDescent="0.25">
      <c r="A27" t="s">
        <v>22</v>
      </c>
      <c r="B27" t="s">
        <v>19</v>
      </c>
      <c r="C27" s="1">
        <v>10617930</v>
      </c>
      <c r="D27" t="s">
        <v>8</v>
      </c>
      <c r="E27" s="1">
        <v>84652</v>
      </c>
      <c r="F27" s="2">
        <v>8.0000000000000002E-3</v>
      </c>
    </row>
    <row r="28" spans="1:6" x14ac:dyDescent="0.25">
      <c r="A28" t="s">
        <v>23</v>
      </c>
      <c r="B28" t="s">
        <v>15</v>
      </c>
      <c r="C28" s="1">
        <v>4840660</v>
      </c>
      <c r="D28" t="s">
        <v>8</v>
      </c>
      <c r="E28" s="1">
        <v>1152</v>
      </c>
      <c r="F28" s="2">
        <v>2.0000000000000001E-4</v>
      </c>
    </row>
    <row r="29" spans="1:6" x14ac:dyDescent="0.25">
      <c r="A29" t="s">
        <v>23</v>
      </c>
      <c r="B29" t="s">
        <v>16</v>
      </c>
      <c r="C29" s="1">
        <v>4404319</v>
      </c>
      <c r="D29" t="s">
        <v>8</v>
      </c>
      <c r="E29" s="1">
        <v>51064</v>
      </c>
      <c r="F29" s="2">
        <v>1.1599999999999999E-2</v>
      </c>
    </row>
    <row r="30" spans="1:6" x14ac:dyDescent="0.25">
      <c r="A30" t="s">
        <v>23</v>
      </c>
      <c r="B30" t="s">
        <v>17</v>
      </c>
      <c r="C30" s="1">
        <v>4556088</v>
      </c>
      <c r="D30" t="s">
        <v>8</v>
      </c>
      <c r="E30" s="1">
        <v>69871</v>
      </c>
      <c r="F30" s="2">
        <v>1.5299999999999999E-2</v>
      </c>
    </row>
    <row r="31" spans="1:6" x14ac:dyDescent="0.25">
      <c r="A31" t="s">
        <v>23</v>
      </c>
      <c r="B31" t="s">
        <v>18</v>
      </c>
      <c r="C31" s="1">
        <v>5246957</v>
      </c>
      <c r="D31" t="s">
        <v>8</v>
      </c>
      <c r="E31" s="1">
        <v>37133</v>
      </c>
      <c r="F31" s="2">
        <v>7.1000000000000004E-3</v>
      </c>
    </row>
    <row r="32" spans="1:6" x14ac:dyDescent="0.25">
      <c r="A32" t="s">
        <v>23</v>
      </c>
      <c r="B32" t="s">
        <v>19</v>
      </c>
      <c r="C32" s="1">
        <v>5393441</v>
      </c>
      <c r="D32" t="s">
        <v>8</v>
      </c>
      <c r="E32" s="1">
        <v>102920</v>
      </c>
      <c r="F32" s="2">
        <v>1.9099999999999999E-2</v>
      </c>
    </row>
    <row r="33" spans="1:6" x14ac:dyDescent="0.25">
      <c r="A33" t="s">
        <v>24</v>
      </c>
      <c r="B33" t="s">
        <v>15</v>
      </c>
      <c r="C33" s="1">
        <v>7840989</v>
      </c>
      <c r="D33" t="s">
        <v>8</v>
      </c>
      <c r="E33" s="1">
        <v>2827</v>
      </c>
      <c r="F33" s="2">
        <v>4.0000000000000002E-4</v>
      </c>
    </row>
    <row r="34" spans="1:6" x14ac:dyDescent="0.25">
      <c r="A34" t="s">
        <v>24</v>
      </c>
      <c r="B34" t="s">
        <v>16</v>
      </c>
      <c r="C34" s="1">
        <v>8926719</v>
      </c>
      <c r="D34" t="s">
        <v>8</v>
      </c>
      <c r="E34" s="1">
        <v>72833</v>
      </c>
      <c r="F34" s="2">
        <v>8.2000000000000007E-3</v>
      </c>
    </row>
    <row r="35" spans="1:6" x14ac:dyDescent="0.25">
      <c r="A35" t="s">
        <v>24</v>
      </c>
      <c r="B35" t="s">
        <v>17</v>
      </c>
      <c r="C35" s="1">
        <v>9438206</v>
      </c>
      <c r="D35" t="s">
        <v>8</v>
      </c>
      <c r="E35" s="1">
        <v>44365</v>
      </c>
      <c r="F35" s="2">
        <v>4.7000000000000002E-3</v>
      </c>
    </row>
    <row r="36" spans="1:6" x14ac:dyDescent="0.25">
      <c r="A36" t="s">
        <v>24</v>
      </c>
      <c r="B36" t="s">
        <v>18</v>
      </c>
      <c r="C36" s="1">
        <v>9985630</v>
      </c>
      <c r="D36" t="s">
        <v>8</v>
      </c>
      <c r="E36" s="1">
        <v>69560</v>
      </c>
      <c r="F36" s="2">
        <v>7.0000000000000001E-3</v>
      </c>
    </row>
    <row r="37" spans="1:6" x14ac:dyDescent="0.25">
      <c r="A37" t="s">
        <v>24</v>
      </c>
      <c r="B37" t="s">
        <v>19</v>
      </c>
      <c r="C37" s="1">
        <v>13015853</v>
      </c>
      <c r="D37" t="s">
        <v>8</v>
      </c>
      <c r="E37" s="1">
        <v>99300</v>
      </c>
      <c r="F37" s="2">
        <v>7.6E-3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4D3E8-8C4B-45AF-AEEF-44CCFD6C7576}">
  <dimension ref="A1:G46"/>
  <sheetViews>
    <sheetView tabSelected="1" workbookViewId="0">
      <selection activeCell="G12" sqref="G12"/>
    </sheetView>
  </sheetViews>
  <sheetFormatPr defaultRowHeight="15" x14ac:dyDescent="0.25"/>
  <cols>
    <col min="1" max="1" width="22.85546875" bestFit="1" customWidth="1"/>
    <col min="2" max="2" width="21.140625" style="6" bestFit="1" customWidth="1"/>
    <col min="3" max="3" width="26.42578125" style="6" bestFit="1" customWidth="1"/>
    <col min="4" max="4" width="25" style="2" bestFit="1" customWidth="1"/>
    <col min="5" max="5" width="18.85546875" style="6" bestFit="1" customWidth="1"/>
    <col min="6" max="6" width="27.42578125" style="6" bestFit="1" customWidth="1"/>
  </cols>
  <sheetData>
    <row r="1" spans="1:7" x14ac:dyDescent="0.25">
      <c r="A1" s="7" t="s">
        <v>30</v>
      </c>
    </row>
    <row r="3" spans="1:7" x14ac:dyDescent="0.25">
      <c r="A3" s="3" t="s">
        <v>25</v>
      </c>
      <c r="B3" s="6" t="s">
        <v>27</v>
      </c>
      <c r="C3" s="6" t="s">
        <v>28</v>
      </c>
      <c r="D3" s="2" t="s">
        <v>29</v>
      </c>
      <c r="E3"/>
      <c r="F3"/>
    </row>
    <row r="4" spans="1:7" x14ac:dyDescent="0.25">
      <c r="A4" s="4" t="s">
        <v>6</v>
      </c>
      <c r="B4" s="6">
        <v>8419229</v>
      </c>
      <c r="C4" s="6">
        <v>49575</v>
      </c>
      <c r="D4" s="2">
        <v>5.8883063995527384E-3</v>
      </c>
      <c r="E4"/>
      <c r="F4"/>
      <c r="G4" s="2"/>
    </row>
    <row r="5" spans="1:7" x14ac:dyDescent="0.25">
      <c r="A5" s="5" t="s">
        <v>17</v>
      </c>
      <c r="B5" s="6">
        <v>2084592</v>
      </c>
      <c r="C5" s="6">
        <v>1129</v>
      </c>
      <c r="D5" s="2">
        <v>5.4159279129920869E-4</v>
      </c>
      <c r="E5"/>
      <c r="F5"/>
      <c r="G5" s="2"/>
    </row>
    <row r="6" spans="1:7" x14ac:dyDescent="0.25">
      <c r="A6" s="5" t="s">
        <v>18</v>
      </c>
      <c r="B6" s="6">
        <v>3288308</v>
      </c>
      <c r="C6" s="6">
        <v>15806</v>
      </c>
      <c r="D6" s="2">
        <v>4.8067273503576919E-3</v>
      </c>
      <c r="E6"/>
      <c r="F6"/>
      <c r="G6" s="2"/>
    </row>
    <row r="7" spans="1:7" x14ac:dyDescent="0.25">
      <c r="A7" s="5" t="s">
        <v>19</v>
      </c>
      <c r="B7" s="6">
        <v>3046329</v>
      </c>
      <c r="C7" s="6">
        <v>32640</v>
      </c>
      <c r="D7" s="2">
        <v>1.0714535429364326E-2</v>
      </c>
      <c r="E7"/>
      <c r="F7"/>
      <c r="G7" s="2"/>
    </row>
    <row r="8" spans="1:7" x14ac:dyDescent="0.25">
      <c r="A8" s="4" t="s">
        <v>20</v>
      </c>
      <c r="B8" s="6">
        <v>66486216</v>
      </c>
      <c r="C8" s="6">
        <v>437223</v>
      </c>
      <c r="D8" s="2">
        <v>6.5761450463657006E-3</v>
      </c>
      <c r="E8"/>
      <c r="F8"/>
      <c r="G8" s="2"/>
    </row>
    <row r="9" spans="1:7" x14ac:dyDescent="0.25">
      <c r="A9" s="5" t="s">
        <v>7</v>
      </c>
      <c r="B9" s="6">
        <v>4445965</v>
      </c>
      <c r="C9" s="6">
        <v>2754</v>
      </c>
      <c r="D9" s="2">
        <v>6.1943807474867658E-4</v>
      </c>
      <c r="E9"/>
      <c r="F9"/>
    </row>
    <row r="10" spans="1:7" x14ac:dyDescent="0.25">
      <c r="A10" s="5" t="s">
        <v>9</v>
      </c>
      <c r="B10" s="6">
        <v>5049413</v>
      </c>
      <c r="C10" s="6">
        <v>852</v>
      </c>
      <c r="D10" s="2">
        <v>1.687324843501611E-4</v>
      </c>
      <c r="E10"/>
      <c r="F10"/>
    </row>
    <row r="11" spans="1:7" x14ac:dyDescent="0.25">
      <c r="A11" s="5" t="s">
        <v>10</v>
      </c>
      <c r="B11" s="6">
        <v>5403134</v>
      </c>
      <c r="D11" s="2">
        <v>0</v>
      </c>
      <c r="E11"/>
      <c r="F11"/>
    </row>
    <row r="12" spans="1:7" x14ac:dyDescent="0.25">
      <c r="A12" s="5" t="s">
        <v>11</v>
      </c>
      <c r="B12" s="6">
        <v>4163511</v>
      </c>
      <c r="D12" s="2">
        <v>0</v>
      </c>
      <c r="E12"/>
      <c r="F12"/>
    </row>
    <row r="13" spans="1:7" x14ac:dyDescent="0.25">
      <c r="A13" s="5" t="s">
        <v>12</v>
      </c>
      <c r="B13" s="6">
        <v>4405350</v>
      </c>
      <c r="D13" s="2">
        <v>0</v>
      </c>
      <c r="E13"/>
      <c r="F13"/>
    </row>
    <row r="14" spans="1:7" x14ac:dyDescent="0.25">
      <c r="A14" s="5" t="s">
        <v>13</v>
      </c>
      <c r="B14" s="6">
        <v>5535613</v>
      </c>
      <c r="D14" s="2">
        <v>0</v>
      </c>
      <c r="E14"/>
      <c r="F14"/>
    </row>
    <row r="15" spans="1:7" x14ac:dyDescent="0.25">
      <c r="A15" s="5" t="s">
        <v>14</v>
      </c>
      <c r="B15" s="6">
        <v>5579536</v>
      </c>
      <c r="D15" s="2">
        <v>0</v>
      </c>
      <c r="E15"/>
      <c r="F15"/>
    </row>
    <row r="16" spans="1:7" x14ac:dyDescent="0.25">
      <c r="A16" s="5" t="s">
        <v>15</v>
      </c>
      <c r="B16" s="6">
        <v>6688871</v>
      </c>
      <c r="C16" s="6">
        <v>2285</v>
      </c>
      <c r="D16" s="2">
        <v>3.4161220929511123E-4</v>
      </c>
      <c r="E16"/>
      <c r="F16"/>
    </row>
    <row r="17" spans="1:7" x14ac:dyDescent="0.25">
      <c r="A17" s="5" t="s">
        <v>16</v>
      </c>
      <c r="B17" s="6">
        <v>6752392</v>
      </c>
      <c r="C17" s="6">
        <v>757</v>
      </c>
      <c r="D17" s="2">
        <v>1.1210842024574402E-4</v>
      </c>
      <c r="E17"/>
      <c r="F17"/>
    </row>
    <row r="18" spans="1:7" x14ac:dyDescent="0.25">
      <c r="A18" s="5" t="s">
        <v>17</v>
      </c>
      <c r="B18" s="6">
        <v>6281416</v>
      </c>
      <c r="C18" s="6">
        <v>11643</v>
      </c>
      <c r="D18" s="2">
        <v>1.8535629545949513E-3</v>
      </c>
      <c r="E18"/>
      <c r="F18"/>
    </row>
    <row r="19" spans="1:7" x14ac:dyDescent="0.25">
      <c r="A19" s="5" t="s">
        <v>18</v>
      </c>
      <c r="B19" s="6">
        <v>6127654</v>
      </c>
      <c r="C19" s="6">
        <v>234059</v>
      </c>
      <c r="D19" s="2">
        <v>3.8197163221030429E-2</v>
      </c>
      <c r="E19"/>
      <c r="F19"/>
    </row>
    <row r="20" spans="1:7" x14ac:dyDescent="0.25">
      <c r="A20" s="5" t="s">
        <v>19</v>
      </c>
      <c r="B20" s="6">
        <v>6053361</v>
      </c>
      <c r="C20" s="6">
        <v>184873</v>
      </c>
      <c r="D20" s="2">
        <v>3.0540554247466819E-2</v>
      </c>
      <c r="E20"/>
      <c r="F20"/>
    </row>
    <row r="21" spans="1:7" x14ac:dyDescent="0.25">
      <c r="A21" s="4" t="s">
        <v>21</v>
      </c>
      <c r="B21" s="6">
        <v>7034462</v>
      </c>
      <c r="C21" s="6">
        <v>130538</v>
      </c>
      <c r="D21" s="2">
        <v>1.8556927310148238E-2</v>
      </c>
      <c r="E21"/>
      <c r="F21"/>
      <c r="G21" s="2"/>
    </row>
    <row r="22" spans="1:7" x14ac:dyDescent="0.25">
      <c r="A22" s="5" t="s">
        <v>12</v>
      </c>
      <c r="B22" s="6">
        <v>848257</v>
      </c>
      <c r="C22" s="6">
        <v>1218</v>
      </c>
      <c r="D22" s="2">
        <v>1.4358855865616198E-3</v>
      </c>
      <c r="E22"/>
      <c r="F22"/>
    </row>
    <row r="23" spans="1:7" x14ac:dyDescent="0.25">
      <c r="A23" s="5" t="s">
        <v>13</v>
      </c>
      <c r="B23" s="6">
        <v>1095935</v>
      </c>
      <c r="D23" s="2">
        <v>0</v>
      </c>
      <c r="E23"/>
      <c r="F23"/>
    </row>
    <row r="24" spans="1:7" x14ac:dyDescent="0.25">
      <c r="A24" s="5" t="s">
        <v>14</v>
      </c>
      <c r="B24" s="6">
        <v>1055418</v>
      </c>
      <c r="D24" s="2">
        <v>0</v>
      </c>
      <c r="E24"/>
      <c r="F24"/>
    </row>
    <row r="25" spans="1:7" x14ac:dyDescent="0.25">
      <c r="A25" s="5" t="s">
        <v>15</v>
      </c>
      <c r="B25" s="6">
        <v>807571</v>
      </c>
      <c r="D25" s="2">
        <v>0</v>
      </c>
      <c r="E25"/>
      <c r="F25"/>
    </row>
    <row r="26" spans="1:7" x14ac:dyDescent="0.25">
      <c r="A26" s="5" t="s">
        <v>16</v>
      </c>
      <c r="B26" s="6">
        <v>827248</v>
      </c>
      <c r="D26" s="2">
        <v>0</v>
      </c>
      <c r="E26"/>
      <c r="F26"/>
    </row>
    <row r="27" spans="1:7" x14ac:dyDescent="0.25">
      <c r="A27" s="5" t="s">
        <v>17</v>
      </c>
      <c r="B27" s="6">
        <v>772309</v>
      </c>
      <c r="C27" s="6">
        <v>8437</v>
      </c>
      <c r="D27" s="2">
        <v>1.0924383892975479E-2</v>
      </c>
      <c r="E27"/>
      <c r="F27"/>
    </row>
    <row r="28" spans="1:7" x14ac:dyDescent="0.25">
      <c r="A28" s="5" t="s">
        <v>18</v>
      </c>
      <c r="B28" s="6">
        <v>673231</v>
      </c>
      <c r="C28" s="6">
        <v>44636</v>
      </c>
      <c r="D28" s="2">
        <v>6.6301165573183649E-2</v>
      </c>
      <c r="E28"/>
      <c r="F28"/>
    </row>
    <row r="29" spans="1:7" x14ac:dyDescent="0.25">
      <c r="A29" s="5" t="s">
        <v>19</v>
      </c>
      <c r="B29" s="6">
        <v>954493</v>
      </c>
      <c r="C29" s="6">
        <v>76247</v>
      </c>
      <c r="D29" s="2">
        <v>7.9882199240853519E-2</v>
      </c>
      <c r="E29"/>
      <c r="F29"/>
    </row>
    <row r="30" spans="1:7" x14ac:dyDescent="0.25">
      <c r="A30" s="4" t="s">
        <v>22</v>
      </c>
      <c r="B30" s="6">
        <v>27800045</v>
      </c>
      <c r="C30" s="6">
        <v>162858</v>
      </c>
      <c r="D30" s="2">
        <v>5.8581919561640997E-3</v>
      </c>
      <c r="E30"/>
      <c r="F30"/>
      <c r="G30" s="2"/>
    </row>
    <row r="31" spans="1:7" x14ac:dyDescent="0.25">
      <c r="A31" s="5" t="s">
        <v>17</v>
      </c>
      <c r="B31" s="6">
        <v>9365191</v>
      </c>
      <c r="C31" s="6">
        <v>12278</v>
      </c>
      <c r="D31" s="2">
        <v>1.3110250501030892E-3</v>
      </c>
      <c r="E31"/>
      <c r="F31"/>
    </row>
    <row r="32" spans="1:7" x14ac:dyDescent="0.25">
      <c r="A32" s="5" t="s">
        <v>18</v>
      </c>
      <c r="B32" s="6">
        <v>7816924</v>
      </c>
      <c r="C32" s="6">
        <v>65928</v>
      </c>
      <c r="D32" s="2">
        <v>8.4340080573893257E-3</v>
      </c>
      <c r="E32"/>
      <c r="F32"/>
    </row>
    <row r="33" spans="1:7" x14ac:dyDescent="0.25">
      <c r="A33" s="5" t="s">
        <v>19</v>
      </c>
      <c r="B33" s="6">
        <v>10617930</v>
      </c>
      <c r="C33" s="6">
        <v>84652</v>
      </c>
      <c r="D33" s="2">
        <v>7.9725520887781332E-3</v>
      </c>
      <c r="E33"/>
      <c r="F33"/>
    </row>
    <row r="34" spans="1:7" x14ac:dyDescent="0.25">
      <c r="A34" s="4" t="s">
        <v>23</v>
      </c>
      <c r="B34" s="6">
        <v>24441465</v>
      </c>
      <c r="C34" s="6">
        <v>262140</v>
      </c>
      <c r="D34" s="2">
        <v>1.0725216348529026E-2</v>
      </c>
      <c r="E34"/>
      <c r="F34"/>
      <c r="G34" s="2"/>
    </row>
    <row r="35" spans="1:7" x14ac:dyDescent="0.25">
      <c r="A35" s="5" t="s">
        <v>15</v>
      </c>
      <c r="B35" s="6">
        <v>4840660</v>
      </c>
      <c r="C35" s="6">
        <v>1152</v>
      </c>
      <c r="D35" s="2">
        <v>2.3798407655154462E-4</v>
      </c>
      <c r="E35"/>
      <c r="F35"/>
    </row>
    <row r="36" spans="1:7" x14ac:dyDescent="0.25">
      <c r="A36" s="5" t="s">
        <v>16</v>
      </c>
      <c r="B36" s="6">
        <v>4404319</v>
      </c>
      <c r="C36" s="6">
        <v>51064</v>
      </c>
      <c r="D36" s="2">
        <v>1.1594073907907216E-2</v>
      </c>
      <c r="E36"/>
      <c r="F36"/>
    </row>
    <row r="37" spans="1:7" x14ac:dyDescent="0.25">
      <c r="A37" s="5" t="s">
        <v>17</v>
      </c>
      <c r="B37" s="6">
        <v>4556088</v>
      </c>
      <c r="C37" s="6">
        <v>69871</v>
      </c>
      <c r="D37" s="2">
        <v>1.5335744173510257E-2</v>
      </c>
      <c r="E37"/>
      <c r="F37"/>
    </row>
    <row r="38" spans="1:7" x14ac:dyDescent="0.25">
      <c r="A38" s="5" t="s">
        <v>18</v>
      </c>
      <c r="B38" s="6">
        <v>5246957</v>
      </c>
      <c r="C38" s="6">
        <v>37133</v>
      </c>
      <c r="D38" s="2">
        <v>7.0770543764700185E-3</v>
      </c>
      <c r="E38"/>
      <c r="F38"/>
    </row>
    <row r="39" spans="1:7" x14ac:dyDescent="0.25">
      <c r="A39" s="5" t="s">
        <v>19</v>
      </c>
      <c r="B39" s="6">
        <v>5393441</v>
      </c>
      <c r="C39" s="6">
        <v>102920</v>
      </c>
      <c r="D39" s="2">
        <v>1.9082437353073856E-2</v>
      </c>
      <c r="E39"/>
      <c r="F39"/>
    </row>
    <row r="40" spans="1:7" x14ac:dyDescent="0.25">
      <c r="A40" s="4" t="s">
        <v>24</v>
      </c>
      <c r="B40" s="6">
        <v>49207397</v>
      </c>
      <c r="C40" s="6">
        <v>288885</v>
      </c>
      <c r="D40" s="2">
        <v>5.870763698392744E-3</v>
      </c>
      <c r="E40"/>
      <c r="F40"/>
      <c r="G40" s="2"/>
    </row>
    <row r="41" spans="1:7" x14ac:dyDescent="0.25">
      <c r="A41" s="5" t="s">
        <v>15</v>
      </c>
      <c r="B41" s="6">
        <v>7840989</v>
      </c>
      <c r="C41" s="6">
        <v>2827</v>
      </c>
      <c r="D41" s="2">
        <v>3.6054125315059107E-4</v>
      </c>
      <c r="E41"/>
      <c r="F41"/>
    </row>
    <row r="42" spans="1:7" x14ac:dyDescent="0.25">
      <c r="A42" s="5" t="s">
        <v>16</v>
      </c>
      <c r="B42" s="6">
        <v>8926719</v>
      </c>
      <c r="C42" s="6">
        <v>72833</v>
      </c>
      <c r="D42" s="2">
        <v>8.1589887617163712E-3</v>
      </c>
      <c r="E42"/>
      <c r="F42"/>
    </row>
    <row r="43" spans="1:7" x14ac:dyDescent="0.25">
      <c r="A43" s="5" t="s">
        <v>17</v>
      </c>
      <c r="B43" s="6">
        <v>9438206</v>
      </c>
      <c r="C43" s="6">
        <v>44365</v>
      </c>
      <c r="D43" s="2">
        <v>4.7005755119140227E-3</v>
      </c>
      <c r="E43"/>
      <c r="F43"/>
    </row>
    <row r="44" spans="1:7" x14ac:dyDescent="0.25">
      <c r="A44" s="5" t="s">
        <v>18</v>
      </c>
      <c r="B44" s="6">
        <v>9985630</v>
      </c>
      <c r="C44" s="6">
        <v>69560</v>
      </c>
      <c r="D44" s="2">
        <v>6.9660101565950268E-3</v>
      </c>
      <c r="E44"/>
      <c r="F44"/>
    </row>
    <row r="45" spans="1:7" x14ac:dyDescent="0.25">
      <c r="A45" s="5" t="s">
        <v>19</v>
      </c>
      <c r="B45" s="6">
        <v>13015853</v>
      </c>
      <c r="C45" s="6">
        <v>99300</v>
      </c>
      <c r="D45" s="2">
        <v>7.6291580736199153E-3</v>
      </c>
      <c r="E45"/>
      <c r="F45"/>
    </row>
    <row r="46" spans="1:7" x14ac:dyDescent="0.25">
      <c r="A46" s="4" t="s">
        <v>26</v>
      </c>
      <c r="B46" s="6">
        <v>183388814</v>
      </c>
      <c r="C46" s="6">
        <v>1331219</v>
      </c>
      <c r="D46" s="2">
        <v>7.2589978143377931E-3</v>
      </c>
      <c r="E46"/>
      <c r="F46"/>
      <c r="G46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7256ee8-3944-4807-bed3-6cc94b30b2e9}" enabled="0" method="" siteId="{67256ee8-3944-4807-bed3-6cc94b30b2e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modele PLUS</vt:lpstr>
      <vt:lpstr>Podsumowanie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Łukasz Wójcik</cp:lastModifiedBy>
  <dcterms:created xsi:type="dcterms:W3CDTF">2026-01-20T10:07:58Z</dcterms:created>
  <dcterms:modified xsi:type="dcterms:W3CDTF">2026-01-20T10:58:26Z</dcterms:modified>
</cp:coreProperties>
</file>